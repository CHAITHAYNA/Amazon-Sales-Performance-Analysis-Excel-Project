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102164e8a5d1d76/Desktop/Innomatics/Power_BI_555A/Excel/Excel project/"/>
    </mc:Choice>
  </mc:AlternateContent>
  <xr:revisionPtr revIDLastSave="0" documentId="14_{A12D2FAB-1E0F-404B-913B-F5FB1302582A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ashboard" sheetId="1" r:id="rId1"/>
    <sheet name="Pivots" sheetId="2" r:id="rId2"/>
    <sheet name="Cleaned_Data" sheetId="3" r:id="rId3"/>
    <sheet name="Raw_Data" sheetId="4" r:id="rId4"/>
    <sheet name="Insights" sheetId="5" r:id="rId5"/>
    <sheet name="README" sheetId="6" r:id="rId6"/>
  </sheets>
  <definedNames>
    <definedName name="_xlnm._FilterDatabase" localSheetId="2" hidden="1">Cleaned_Data!$A$1:$O$501</definedName>
    <definedName name="_xlnm._FilterDatabase" localSheetId="3" hidden="1">Raw_Data!$A$1:$K$516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01" i="3" l="1"/>
  <c r="L501" i="3"/>
  <c r="K501" i="3"/>
  <c r="N501" i="3" s="1"/>
  <c r="J501" i="3"/>
  <c r="I501" i="3"/>
  <c r="H501" i="3"/>
  <c r="F501" i="3"/>
  <c r="E501" i="3"/>
  <c r="G501" i="3" s="1"/>
  <c r="O501" i="3" s="1"/>
  <c r="D501" i="3"/>
  <c r="C501" i="3"/>
  <c r="B501" i="3"/>
  <c r="A501" i="3"/>
  <c r="L500" i="3"/>
  <c r="K500" i="3"/>
  <c r="N500" i="3" s="1"/>
  <c r="J500" i="3"/>
  <c r="I500" i="3"/>
  <c r="H500" i="3"/>
  <c r="F500" i="3"/>
  <c r="E500" i="3"/>
  <c r="G500" i="3" s="1"/>
  <c r="O500" i="3" s="1"/>
  <c r="D500" i="3"/>
  <c r="C500" i="3"/>
  <c r="B500" i="3"/>
  <c r="M500" i="3" s="1"/>
  <c r="A500" i="3"/>
  <c r="K499" i="3"/>
  <c r="N499" i="3" s="1"/>
  <c r="J499" i="3"/>
  <c r="I499" i="3"/>
  <c r="H499" i="3"/>
  <c r="G499" i="3"/>
  <c r="O499" i="3" s="1"/>
  <c r="F499" i="3"/>
  <c r="E499" i="3"/>
  <c r="D499" i="3"/>
  <c r="C499" i="3"/>
  <c r="B499" i="3"/>
  <c r="A499" i="3"/>
  <c r="N498" i="3"/>
  <c r="K498" i="3"/>
  <c r="J498" i="3"/>
  <c r="I498" i="3"/>
  <c r="H498" i="3"/>
  <c r="F498" i="3"/>
  <c r="G498" i="3" s="1"/>
  <c r="O498" i="3" s="1"/>
  <c r="E498" i="3"/>
  <c r="D498" i="3"/>
  <c r="C498" i="3"/>
  <c r="B498" i="3"/>
  <c r="A498" i="3"/>
  <c r="N497" i="3"/>
  <c r="M497" i="3"/>
  <c r="K497" i="3"/>
  <c r="J497" i="3"/>
  <c r="I497" i="3"/>
  <c r="H497" i="3"/>
  <c r="F497" i="3"/>
  <c r="E497" i="3"/>
  <c r="G497" i="3" s="1"/>
  <c r="O497" i="3" s="1"/>
  <c r="D497" i="3"/>
  <c r="C497" i="3"/>
  <c r="B497" i="3"/>
  <c r="L497" i="3" s="1"/>
  <c r="A497" i="3"/>
  <c r="N496" i="3"/>
  <c r="M496" i="3"/>
  <c r="L496" i="3"/>
  <c r="K496" i="3"/>
  <c r="J496" i="3"/>
  <c r="I496" i="3"/>
  <c r="H496" i="3"/>
  <c r="F496" i="3"/>
  <c r="E496" i="3"/>
  <c r="G496" i="3" s="1"/>
  <c r="O496" i="3" s="1"/>
  <c r="D496" i="3"/>
  <c r="C496" i="3"/>
  <c r="B496" i="3"/>
  <c r="A496" i="3"/>
  <c r="M495" i="3"/>
  <c r="L495" i="3"/>
  <c r="K495" i="3"/>
  <c r="N495" i="3" s="1"/>
  <c r="J495" i="3"/>
  <c r="I495" i="3"/>
  <c r="H495" i="3"/>
  <c r="F495" i="3"/>
  <c r="E495" i="3"/>
  <c r="G495" i="3" s="1"/>
  <c r="O495" i="3" s="1"/>
  <c r="D495" i="3"/>
  <c r="C495" i="3"/>
  <c r="B495" i="3"/>
  <c r="A495" i="3"/>
  <c r="N494" i="3"/>
  <c r="K494" i="3"/>
  <c r="J494" i="3"/>
  <c r="I494" i="3"/>
  <c r="H494" i="3"/>
  <c r="F494" i="3"/>
  <c r="E494" i="3"/>
  <c r="G494" i="3" s="1"/>
  <c r="O494" i="3" s="1"/>
  <c r="D494" i="3"/>
  <c r="C494" i="3"/>
  <c r="B494" i="3"/>
  <c r="M494" i="3" s="1"/>
  <c r="A494" i="3"/>
  <c r="M493" i="3"/>
  <c r="L493" i="3"/>
  <c r="K493" i="3"/>
  <c r="N493" i="3" s="1"/>
  <c r="J493" i="3"/>
  <c r="I493" i="3"/>
  <c r="H493" i="3"/>
  <c r="F493" i="3"/>
  <c r="E493" i="3"/>
  <c r="G493" i="3" s="1"/>
  <c r="O493" i="3" s="1"/>
  <c r="D493" i="3"/>
  <c r="C493" i="3"/>
  <c r="B493" i="3"/>
  <c r="A493" i="3"/>
  <c r="L492" i="3"/>
  <c r="K492" i="3"/>
  <c r="N492" i="3" s="1"/>
  <c r="J492" i="3"/>
  <c r="I492" i="3"/>
  <c r="H492" i="3"/>
  <c r="F492" i="3"/>
  <c r="E492" i="3"/>
  <c r="G492" i="3" s="1"/>
  <c r="O492" i="3" s="1"/>
  <c r="D492" i="3"/>
  <c r="C492" i="3"/>
  <c r="B492" i="3"/>
  <c r="M492" i="3" s="1"/>
  <c r="A492" i="3"/>
  <c r="O491" i="3"/>
  <c r="K491" i="3"/>
  <c r="N491" i="3" s="1"/>
  <c r="J491" i="3"/>
  <c r="I491" i="3"/>
  <c r="H491" i="3"/>
  <c r="G491" i="3"/>
  <c r="F491" i="3"/>
  <c r="E491" i="3"/>
  <c r="D491" i="3"/>
  <c r="C491" i="3"/>
  <c r="B491" i="3"/>
  <c r="A491" i="3"/>
  <c r="O490" i="3"/>
  <c r="N490" i="3"/>
  <c r="K490" i="3"/>
  <c r="J490" i="3"/>
  <c r="I490" i="3"/>
  <c r="H490" i="3"/>
  <c r="G490" i="3"/>
  <c r="F490" i="3"/>
  <c r="E490" i="3"/>
  <c r="D490" i="3"/>
  <c r="C490" i="3"/>
  <c r="B490" i="3"/>
  <c r="A490" i="3"/>
  <c r="N489" i="3"/>
  <c r="M489" i="3"/>
  <c r="K489" i="3"/>
  <c r="J489" i="3"/>
  <c r="I489" i="3"/>
  <c r="H489" i="3"/>
  <c r="F489" i="3"/>
  <c r="E489" i="3"/>
  <c r="G489" i="3" s="1"/>
  <c r="O489" i="3" s="1"/>
  <c r="D489" i="3"/>
  <c r="C489" i="3"/>
  <c r="B489" i="3"/>
  <c r="L489" i="3" s="1"/>
  <c r="A489" i="3"/>
  <c r="N488" i="3"/>
  <c r="M488" i="3"/>
  <c r="L488" i="3"/>
  <c r="K488" i="3"/>
  <c r="J488" i="3"/>
  <c r="I488" i="3"/>
  <c r="H488" i="3"/>
  <c r="F488" i="3"/>
  <c r="E488" i="3"/>
  <c r="G488" i="3" s="1"/>
  <c r="O488" i="3" s="1"/>
  <c r="D488" i="3"/>
  <c r="C488" i="3"/>
  <c r="B488" i="3"/>
  <c r="A488" i="3"/>
  <c r="M487" i="3"/>
  <c r="L487" i="3"/>
  <c r="K487" i="3"/>
  <c r="N487" i="3" s="1"/>
  <c r="J487" i="3"/>
  <c r="I487" i="3"/>
  <c r="H487" i="3"/>
  <c r="F487" i="3"/>
  <c r="E487" i="3"/>
  <c r="G487" i="3" s="1"/>
  <c r="O487" i="3" s="1"/>
  <c r="D487" i="3"/>
  <c r="C487" i="3"/>
  <c r="B487" i="3"/>
  <c r="A487" i="3"/>
  <c r="K486" i="3"/>
  <c r="N486" i="3" s="1"/>
  <c r="J486" i="3"/>
  <c r="I486" i="3"/>
  <c r="H486" i="3"/>
  <c r="F486" i="3"/>
  <c r="E486" i="3"/>
  <c r="D486" i="3"/>
  <c r="C486" i="3"/>
  <c r="B486" i="3"/>
  <c r="M486" i="3" s="1"/>
  <c r="A486" i="3"/>
  <c r="K485" i="3"/>
  <c r="N485" i="3" s="1"/>
  <c r="J485" i="3"/>
  <c r="I485" i="3"/>
  <c r="H485" i="3"/>
  <c r="F485" i="3"/>
  <c r="E485" i="3"/>
  <c r="G485" i="3" s="1"/>
  <c r="O485" i="3" s="1"/>
  <c r="D485" i="3"/>
  <c r="C485" i="3"/>
  <c r="B485" i="3"/>
  <c r="A485" i="3"/>
  <c r="L484" i="3"/>
  <c r="K484" i="3"/>
  <c r="N484" i="3" s="1"/>
  <c r="J484" i="3"/>
  <c r="I484" i="3"/>
  <c r="H484" i="3"/>
  <c r="F484" i="3"/>
  <c r="E484" i="3"/>
  <c r="G484" i="3" s="1"/>
  <c r="O484" i="3" s="1"/>
  <c r="D484" i="3"/>
  <c r="C484" i="3"/>
  <c r="B484" i="3"/>
  <c r="M484" i="3" s="1"/>
  <c r="A484" i="3"/>
  <c r="O483" i="3"/>
  <c r="K483" i="3"/>
  <c r="N483" i="3" s="1"/>
  <c r="J483" i="3"/>
  <c r="I483" i="3"/>
  <c r="H483" i="3"/>
  <c r="G483" i="3"/>
  <c r="F483" i="3"/>
  <c r="E483" i="3"/>
  <c r="D483" i="3"/>
  <c r="C483" i="3"/>
  <c r="B483" i="3"/>
  <c r="A483" i="3"/>
  <c r="N482" i="3"/>
  <c r="K482" i="3"/>
  <c r="J482" i="3"/>
  <c r="I482" i="3"/>
  <c r="H482" i="3"/>
  <c r="F482" i="3"/>
  <c r="G482" i="3" s="1"/>
  <c r="O482" i="3" s="1"/>
  <c r="E482" i="3"/>
  <c r="D482" i="3"/>
  <c r="C482" i="3"/>
  <c r="B482" i="3"/>
  <c r="A482" i="3"/>
  <c r="N481" i="3"/>
  <c r="M481" i="3"/>
  <c r="K481" i="3"/>
  <c r="J481" i="3"/>
  <c r="I481" i="3"/>
  <c r="H481" i="3"/>
  <c r="G481" i="3"/>
  <c r="O481" i="3" s="1"/>
  <c r="F481" i="3"/>
  <c r="E481" i="3"/>
  <c r="D481" i="3"/>
  <c r="C481" i="3"/>
  <c r="B481" i="3"/>
  <c r="L481" i="3" s="1"/>
  <c r="A481" i="3"/>
  <c r="N480" i="3"/>
  <c r="M480" i="3"/>
  <c r="L480" i="3"/>
  <c r="K480" i="3"/>
  <c r="J480" i="3"/>
  <c r="I480" i="3"/>
  <c r="H480" i="3"/>
  <c r="F480" i="3"/>
  <c r="E480" i="3"/>
  <c r="G480" i="3" s="1"/>
  <c r="O480" i="3" s="1"/>
  <c r="D480" i="3"/>
  <c r="C480" i="3"/>
  <c r="B480" i="3"/>
  <c r="A480" i="3"/>
  <c r="N479" i="3"/>
  <c r="M479" i="3"/>
  <c r="L479" i="3"/>
  <c r="K479" i="3"/>
  <c r="J479" i="3"/>
  <c r="I479" i="3"/>
  <c r="H479" i="3"/>
  <c r="F479" i="3"/>
  <c r="E479" i="3"/>
  <c r="G479" i="3" s="1"/>
  <c r="O479" i="3" s="1"/>
  <c r="D479" i="3"/>
  <c r="C479" i="3"/>
  <c r="B479" i="3"/>
  <c r="A479" i="3"/>
  <c r="K478" i="3"/>
  <c r="N478" i="3" s="1"/>
  <c r="J478" i="3"/>
  <c r="I478" i="3"/>
  <c r="H478" i="3"/>
  <c r="F478" i="3"/>
  <c r="E478" i="3"/>
  <c r="D478" i="3"/>
  <c r="C478" i="3"/>
  <c r="B478" i="3"/>
  <c r="M478" i="3" s="1"/>
  <c r="A478" i="3"/>
  <c r="L477" i="3"/>
  <c r="K477" i="3"/>
  <c r="N477" i="3" s="1"/>
  <c r="J477" i="3"/>
  <c r="I477" i="3"/>
  <c r="H477" i="3"/>
  <c r="F477" i="3"/>
  <c r="E477" i="3"/>
  <c r="G477" i="3" s="1"/>
  <c r="O477" i="3" s="1"/>
  <c r="D477" i="3"/>
  <c r="C477" i="3"/>
  <c r="B477" i="3"/>
  <c r="M477" i="3" s="1"/>
  <c r="A477" i="3"/>
  <c r="K476" i="3"/>
  <c r="N476" i="3" s="1"/>
  <c r="J476" i="3"/>
  <c r="I476" i="3"/>
  <c r="H476" i="3"/>
  <c r="F476" i="3"/>
  <c r="E476" i="3"/>
  <c r="G476" i="3" s="1"/>
  <c r="O476" i="3" s="1"/>
  <c r="D476" i="3"/>
  <c r="C476" i="3"/>
  <c r="B476" i="3"/>
  <c r="M476" i="3" s="1"/>
  <c r="A476" i="3"/>
  <c r="O475" i="3"/>
  <c r="K475" i="3"/>
  <c r="N475" i="3" s="1"/>
  <c r="J475" i="3"/>
  <c r="I475" i="3"/>
  <c r="H475" i="3"/>
  <c r="G475" i="3"/>
  <c r="F475" i="3"/>
  <c r="E475" i="3"/>
  <c r="D475" i="3"/>
  <c r="C475" i="3"/>
  <c r="B475" i="3"/>
  <c r="A475" i="3"/>
  <c r="N474" i="3"/>
  <c r="K474" i="3"/>
  <c r="J474" i="3"/>
  <c r="I474" i="3"/>
  <c r="H474" i="3"/>
  <c r="G474" i="3"/>
  <c r="O474" i="3" s="1"/>
  <c r="F474" i="3"/>
  <c r="E474" i="3"/>
  <c r="D474" i="3"/>
  <c r="C474" i="3"/>
  <c r="B474" i="3"/>
  <c r="A474" i="3"/>
  <c r="N473" i="3"/>
  <c r="M473" i="3"/>
  <c r="K473" i="3"/>
  <c r="J473" i="3"/>
  <c r="I473" i="3"/>
  <c r="H473" i="3"/>
  <c r="F473" i="3"/>
  <c r="E473" i="3"/>
  <c r="G473" i="3" s="1"/>
  <c r="O473" i="3" s="1"/>
  <c r="D473" i="3"/>
  <c r="C473" i="3"/>
  <c r="B473" i="3"/>
  <c r="L473" i="3" s="1"/>
  <c r="A473" i="3"/>
  <c r="N472" i="3"/>
  <c r="M472" i="3"/>
  <c r="L472" i="3"/>
  <c r="K472" i="3"/>
  <c r="J472" i="3"/>
  <c r="I472" i="3"/>
  <c r="H472" i="3"/>
  <c r="G472" i="3"/>
  <c r="O472" i="3" s="1"/>
  <c r="F472" i="3"/>
  <c r="E472" i="3"/>
  <c r="D472" i="3"/>
  <c r="C472" i="3"/>
  <c r="B472" i="3"/>
  <c r="A472" i="3"/>
  <c r="M471" i="3"/>
  <c r="L471" i="3"/>
  <c r="K471" i="3"/>
  <c r="N471" i="3" s="1"/>
  <c r="J471" i="3"/>
  <c r="I471" i="3"/>
  <c r="H471" i="3"/>
  <c r="F471" i="3"/>
  <c r="E471" i="3"/>
  <c r="G471" i="3" s="1"/>
  <c r="O471" i="3" s="1"/>
  <c r="D471" i="3"/>
  <c r="C471" i="3"/>
  <c r="B471" i="3"/>
  <c r="A471" i="3"/>
  <c r="L470" i="3"/>
  <c r="K470" i="3"/>
  <c r="N470" i="3" s="1"/>
  <c r="J470" i="3"/>
  <c r="I470" i="3"/>
  <c r="H470" i="3"/>
  <c r="F470" i="3"/>
  <c r="E470" i="3"/>
  <c r="G470" i="3" s="1"/>
  <c r="O470" i="3" s="1"/>
  <c r="D470" i="3"/>
  <c r="C470" i="3"/>
  <c r="B470" i="3"/>
  <c r="M470" i="3" s="1"/>
  <c r="A470" i="3"/>
  <c r="M469" i="3"/>
  <c r="L469" i="3"/>
  <c r="K469" i="3"/>
  <c r="N469" i="3" s="1"/>
  <c r="J469" i="3"/>
  <c r="I469" i="3"/>
  <c r="H469" i="3"/>
  <c r="F469" i="3"/>
  <c r="E469" i="3"/>
  <c r="G469" i="3" s="1"/>
  <c r="O469" i="3" s="1"/>
  <c r="D469" i="3"/>
  <c r="C469" i="3"/>
  <c r="B469" i="3"/>
  <c r="A469" i="3"/>
  <c r="K468" i="3"/>
  <c r="N468" i="3" s="1"/>
  <c r="J468" i="3"/>
  <c r="I468" i="3"/>
  <c r="H468" i="3"/>
  <c r="F468" i="3"/>
  <c r="E468" i="3"/>
  <c r="G468" i="3" s="1"/>
  <c r="O468" i="3" s="1"/>
  <c r="D468" i="3"/>
  <c r="C468" i="3"/>
  <c r="B468" i="3"/>
  <c r="M468" i="3" s="1"/>
  <c r="A468" i="3"/>
  <c r="K467" i="3"/>
  <c r="N467" i="3" s="1"/>
  <c r="J467" i="3"/>
  <c r="I467" i="3"/>
  <c r="H467" i="3"/>
  <c r="G467" i="3"/>
  <c r="O467" i="3" s="1"/>
  <c r="F467" i="3"/>
  <c r="E467" i="3"/>
  <c r="D467" i="3"/>
  <c r="C467" i="3"/>
  <c r="B467" i="3"/>
  <c r="A467" i="3"/>
  <c r="N466" i="3"/>
  <c r="K466" i="3"/>
  <c r="J466" i="3"/>
  <c r="I466" i="3"/>
  <c r="H466" i="3"/>
  <c r="G466" i="3"/>
  <c r="O466" i="3" s="1"/>
  <c r="F466" i="3"/>
  <c r="E466" i="3"/>
  <c r="D466" i="3"/>
  <c r="C466" i="3"/>
  <c r="B466" i="3"/>
  <c r="A466" i="3"/>
  <c r="N465" i="3"/>
  <c r="M465" i="3"/>
  <c r="K465" i="3"/>
  <c r="J465" i="3"/>
  <c r="I465" i="3"/>
  <c r="H465" i="3"/>
  <c r="F465" i="3"/>
  <c r="E465" i="3"/>
  <c r="G465" i="3" s="1"/>
  <c r="O465" i="3" s="1"/>
  <c r="D465" i="3"/>
  <c r="C465" i="3"/>
  <c r="B465" i="3"/>
  <c r="L465" i="3" s="1"/>
  <c r="A465" i="3"/>
  <c r="N464" i="3"/>
  <c r="M464" i="3"/>
  <c r="L464" i="3"/>
  <c r="K464" i="3"/>
  <c r="J464" i="3"/>
  <c r="I464" i="3"/>
  <c r="H464" i="3"/>
  <c r="F464" i="3"/>
  <c r="E464" i="3"/>
  <c r="G464" i="3" s="1"/>
  <c r="O464" i="3" s="1"/>
  <c r="D464" i="3"/>
  <c r="C464" i="3"/>
  <c r="B464" i="3"/>
  <c r="A464" i="3"/>
  <c r="N463" i="3"/>
  <c r="M463" i="3"/>
  <c r="L463" i="3"/>
  <c r="K463" i="3"/>
  <c r="J463" i="3"/>
  <c r="I463" i="3"/>
  <c r="H463" i="3"/>
  <c r="G463" i="3"/>
  <c r="O463" i="3" s="1"/>
  <c r="F463" i="3"/>
  <c r="E463" i="3"/>
  <c r="D463" i="3"/>
  <c r="C463" i="3"/>
  <c r="B463" i="3"/>
  <c r="A463" i="3"/>
  <c r="N462" i="3"/>
  <c r="M462" i="3"/>
  <c r="L462" i="3"/>
  <c r="K462" i="3"/>
  <c r="J462" i="3"/>
  <c r="I462" i="3"/>
  <c r="H462" i="3"/>
  <c r="F462" i="3"/>
  <c r="E462" i="3"/>
  <c r="G462" i="3" s="1"/>
  <c r="O462" i="3" s="1"/>
  <c r="D462" i="3"/>
  <c r="C462" i="3"/>
  <c r="B462" i="3"/>
  <c r="A462" i="3"/>
  <c r="M461" i="3"/>
  <c r="L461" i="3"/>
  <c r="K461" i="3"/>
  <c r="N461" i="3" s="1"/>
  <c r="J461" i="3"/>
  <c r="I461" i="3"/>
  <c r="H461" i="3"/>
  <c r="F461" i="3"/>
  <c r="E461" i="3"/>
  <c r="G461" i="3" s="1"/>
  <c r="O461" i="3" s="1"/>
  <c r="D461" i="3"/>
  <c r="C461" i="3"/>
  <c r="B461" i="3"/>
  <c r="A461" i="3"/>
  <c r="L460" i="3"/>
  <c r="K460" i="3"/>
  <c r="N460" i="3" s="1"/>
  <c r="J460" i="3"/>
  <c r="I460" i="3"/>
  <c r="H460" i="3"/>
  <c r="F460" i="3"/>
  <c r="E460" i="3"/>
  <c r="G460" i="3" s="1"/>
  <c r="O460" i="3" s="1"/>
  <c r="D460" i="3"/>
  <c r="C460" i="3"/>
  <c r="B460" i="3"/>
  <c r="M460" i="3" s="1"/>
  <c r="A460" i="3"/>
  <c r="O459" i="3"/>
  <c r="K459" i="3"/>
  <c r="N459" i="3" s="1"/>
  <c r="J459" i="3"/>
  <c r="I459" i="3"/>
  <c r="H459" i="3"/>
  <c r="G459" i="3"/>
  <c r="F459" i="3"/>
  <c r="E459" i="3"/>
  <c r="D459" i="3"/>
  <c r="C459" i="3"/>
  <c r="B459" i="3"/>
  <c r="A459" i="3"/>
  <c r="O458" i="3"/>
  <c r="N458" i="3"/>
  <c r="K458" i="3"/>
  <c r="J458" i="3"/>
  <c r="I458" i="3"/>
  <c r="H458" i="3"/>
  <c r="G458" i="3"/>
  <c r="F458" i="3"/>
  <c r="E458" i="3"/>
  <c r="D458" i="3"/>
  <c r="C458" i="3"/>
  <c r="B458" i="3"/>
  <c r="A458" i="3"/>
  <c r="N457" i="3"/>
  <c r="M457" i="3"/>
  <c r="K457" i="3"/>
  <c r="J457" i="3"/>
  <c r="I457" i="3"/>
  <c r="H457" i="3"/>
  <c r="G457" i="3"/>
  <c r="O457" i="3" s="1"/>
  <c r="F457" i="3"/>
  <c r="E457" i="3"/>
  <c r="D457" i="3"/>
  <c r="C457" i="3"/>
  <c r="B457" i="3"/>
  <c r="L457" i="3" s="1"/>
  <c r="A457" i="3"/>
  <c r="N456" i="3"/>
  <c r="M456" i="3"/>
  <c r="L456" i="3"/>
  <c r="K456" i="3"/>
  <c r="J456" i="3"/>
  <c r="I456" i="3"/>
  <c r="H456" i="3"/>
  <c r="F456" i="3"/>
  <c r="E456" i="3"/>
  <c r="D456" i="3"/>
  <c r="C456" i="3"/>
  <c r="B456" i="3"/>
  <c r="A456" i="3"/>
  <c r="M455" i="3"/>
  <c r="L455" i="3"/>
  <c r="K455" i="3"/>
  <c r="N455" i="3" s="1"/>
  <c r="J455" i="3"/>
  <c r="I455" i="3"/>
  <c r="H455" i="3"/>
  <c r="F455" i="3"/>
  <c r="E455" i="3"/>
  <c r="G455" i="3" s="1"/>
  <c r="O455" i="3" s="1"/>
  <c r="D455" i="3"/>
  <c r="C455" i="3"/>
  <c r="B455" i="3"/>
  <c r="A455" i="3"/>
  <c r="K454" i="3"/>
  <c r="N454" i="3" s="1"/>
  <c r="J454" i="3"/>
  <c r="I454" i="3"/>
  <c r="H454" i="3"/>
  <c r="F454" i="3"/>
  <c r="E454" i="3"/>
  <c r="G454" i="3" s="1"/>
  <c r="O454" i="3" s="1"/>
  <c r="D454" i="3"/>
  <c r="C454" i="3"/>
  <c r="B454" i="3"/>
  <c r="A454" i="3"/>
  <c r="K453" i="3"/>
  <c r="N453" i="3" s="1"/>
  <c r="J453" i="3"/>
  <c r="I453" i="3"/>
  <c r="H453" i="3"/>
  <c r="F453" i="3"/>
  <c r="E453" i="3"/>
  <c r="G453" i="3" s="1"/>
  <c r="O453" i="3" s="1"/>
  <c r="D453" i="3"/>
  <c r="C453" i="3"/>
  <c r="B453" i="3"/>
  <c r="M453" i="3" s="1"/>
  <c r="A453" i="3"/>
  <c r="L452" i="3"/>
  <c r="K452" i="3"/>
  <c r="N452" i="3" s="1"/>
  <c r="J452" i="3"/>
  <c r="I452" i="3"/>
  <c r="H452" i="3"/>
  <c r="F452" i="3"/>
  <c r="E452" i="3"/>
  <c r="G452" i="3" s="1"/>
  <c r="O452" i="3" s="1"/>
  <c r="D452" i="3"/>
  <c r="C452" i="3"/>
  <c r="B452" i="3"/>
  <c r="M452" i="3" s="1"/>
  <c r="A452" i="3"/>
  <c r="K451" i="3"/>
  <c r="N451" i="3" s="1"/>
  <c r="J451" i="3"/>
  <c r="I451" i="3"/>
  <c r="H451" i="3"/>
  <c r="G451" i="3"/>
  <c r="O451" i="3" s="1"/>
  <c r="F451" i="3"/>
  <c r="E451" i="3"/>
  <c r="D451" i="3"/>
  <c r="C451" i="3"/>
  <c r="B451" i="3"/>
  <c r="A451" i="3"/>
  <c r="N450" i="3"/>
  <c r="K450" i="3"/>
  <c r="J450" i="3"/>
  <c r="I450" i="3"/>
  <c r="H450" i="3"/>
  <c r="F450" i="3"/>
  <c r="G450" i="3" s="1"/>
  <c r="O450" i="3" s="1"/>
  <c r="E450" i="3"/>
  <c r="D450" i="3"/>
  <c r="C450" i="3"/>
  <c r="B450" i="3"/>
  <c r="A450" i="3"/>
  <c r="N449" i="3"/>
  <c r="M449" i="3"/>
  <c r="K449" i="3"/>
  <c r="J449" i="3"/>
  <c r="I449" i="3"/>
  <c r="H449" i="3"/>
  <c r="G449" i="3"/>
  <c r="O449" i="3" s="1"/>
  <c r="F449" i="3"/>
  <c r="E449" i="3"/>
  <c r="D449" i="3"/>
  <c r="C449" i="3"/>
  <c r="B449" i="3"/>
  <c r="L449" i="3" s="1"/>
  <c r="A449" i="3"/>
  <c r="N448" i="3"/>
  <c r="M448" i="3"/>
  <c r="L448" i="3"/>
  <c r="K448" i="3"/>
  <c r="J448" i="3"/>
  <c r="I448" i="3"/>
  <c r="H448" i="3"/>
  <c r="G448" i="3"/>
  <c r="O448" i="3" s="1"/>
  <c r="F448" i="3"/>
  <c r="E448" i="3"/>
  <c r="D448" i="3"/>
  <c r="C448" i="3"/>
  <c r="B448" i="3"/>
  <c r="A448" i="3"/>
  <c r="N447" i="3"/>
  <c r="M447" i="3"/>
  <c r="L447" i="3"/>
  <c r="K447" i="3"/>
  <c r="J447" i="3"/>
  <c r="I447" i="3"/>
  <c r="H447" i="3"/>
  <c r="F447" i="3"/>
  <c r="E447" i="3"/>
  <c r="D447" i="3"/>
  <c r="C447" i="3"/>
  <c r="B447" i="3"/>
  <c r="A447" i="3"/>
  <c r="L446" i="3"/>
  <c r="K446" i="3"/>
  <c r="N446" i="3" s="1"/>
  <c r="J446" i="3"/>
  <c r="I446" i="3"/>
  <c r="H446" i="3"/>
  <c r="F446" i="3"/>
  <c r="E446" i="3"/>
  <c r="D446" i="3"/>
  <c r="C446" i="3"/>
  <c r="B446" i="3"/>
  <c r="M446" i="3" s="1"/>
  <c r="A446" i="3"/>
  <c r="K445" i="3"/>
  <c r="N445" i="3" s="1"/>
  <c r="J445" i="3"/>
  <c r="I445" i="3"/>
  <c r="H445" i="3"/>
  <c r="F445" i="3"/>
  <c r="E445" i="3"/>
  <c r="G445" i="3" s="1"/>
  <c r="O445" i="3" s="1"/>
  <c r="D445" i="3"/>
  <c r="C445" i="3"/>
  <c r="B445" i="3"/>
  <c r="M445" i="3" s="1"/>
  <c r="A445" i="3"/>
  <c r="K444" i="3"/>
  <c r="N444" i="3" s="1"/>
  <c r="J444" i="3"/>
  <c r="I444" i="3"/>
  <c r="H444" i="3"/>
  <c r="G444" i="3"/>
  <c r="O444" i="3" s="1"/>
  <c r="F444" i="3"/>
  <c r="E444" i="3"/>
  <c r="D444" i="3"/>
  <c r="C444" i="3"/>
  <c r="B444" i="3"/>
  <c r="M444" i="3" s="1"/>
  <c r="A444" i="3"/>
  <c r="K443" i="3"/>
  <c r="N443" i="3" s="1"/>
  <c r="J443" i="3"/>
  <c r="I443" i="3"/>
  <c r="H443" i="3"/>
  <c r="G443" i="3"/>
  <c r="O443" i="3" s="1"/>
  <c r="F443" i="3"/>
  <c r="E443" i="3"/>
  <c r="D443" i="3"/>
  <c r="C443" i="3"/>
  <c r="B443" i="3"/>
  <c r="A443" i="3"/>
  <c r="N442" i="3"/>
  <c r="K442" i="3"/>
  <c r="J442" i="3"/>
  <c r="I442" i="3"/>
  <c r="H442" i="3"/>
  <c r="G442" i="3"/>
  <c r="O442" i="3" s="1"/>
  <c r="F442" i="3"/>
  <c r="E442" i="3"/>
  <c r="D442" i="3"/>
  <c r="C442" i="3"/>
  <c r="B442" i="3"/>
  <c r="A442" i="3"/>
  <c r="N441" i="3"/>
  <c r="M441" i="3"/>
  <c r="K441" i="3"/>
  <c r="J441" i="3"/>
  <c r="I441" i="3"/>
  <c r="H441" i="3"/>
  <c r="F441" i="3"/>
  <c r="E441" i="3"/>
  <c r="G441" i="3" s="1"/>
  <c r="O441" i="3" s="1"/>
  <c r="D441" i="3"/>
  <c r="C441" i="3"/>
  <c r="B441" i="3"/>
  <c r="L441" i="3" s="1"/>
  <c r="A441" i="3"/>
  <c r="N440" i="3"/>
  <c r="M440" i="3"/>
  <c r="L440" i="3"/>
  <c r="K440" i="3"/>
  <c r="J440" i="3"/>
  <c r="I440" i="3"/>
  <c r="H440" i="3"/>
  <c r="G440" i="3"/>
  <c r="O440" i="3" s="1"/>
  <c r="F440" i="3"/>
  <c r="E440" i="3"/>
  <c r="D440" i="3"/>
  <c r="C440" i="3"/>
  <c r="B440" i="3"/>
  <c r="A440" i="3"/>
  <c r="M439" i="3"/>
  <c r="L439" i="3"/>
  <c r="K439" i="3"/>
  <c r="N439" i="3" s="1"/>
  <c r="J439" i="3"/>
  <c r="I439" i="3"/>
  <c r="H439" i="3"/>
  <c r="G439" i="3"/>
  <c r="O439" i="3" s="1"/>
  <c r="F439" i="3"/>
  <c r="E439" i="3"/>
  <c r="D439" i="3"/>
  <c r="C439" i="3"/>
  <c r="B439" i="3"/>
  <c r="A439" i="3"/>
  <c r="N438" i="3"/>
  <c r="M438" i="3"/>
  <c r="L438" i="3"/>
  <c r="K438" i="3"/>
  <c r="J438" i="3"/>
  <c r="I438" i="3"/>
  <c r="H438" i="3"/>
  <c r="F438" i="3"/>
  <c r="E438" i="3"/>
  <c r="G438" i="3" s="1"/>
  <c r="O438" i="3" s="1"/>
  <c r="D438" i="3"/>
  <c r="C438" i="3"/>
  <c r="B438" i="3"/>
  <c r="A438" i="3"/>
  <c r="M437" i="3"/>
  <c r="L437" i="3"/>
  <c r="K437" i="3"/>
  <c r="N437" i="3" s="1"/>
  <c r="J437" i="3"/>
  <c r="I437" i="3"/>
  <c r="H437" i="3"/>
  <c r="F437" i="3"/>
  <c r="E437" i="3"/>
  <c r="G437" i="3" s="1"/>
  <c r="O437" i="3" s="1"/>
  <c r="D437" i="3"/>
  <c r="C437" i="3"/>
  <c r="B437" i="3"/>
  <c r="A437" i="3"/>
  <c r="L436" i="3"/>
  <c r="K436" i="3"/>
  <c r="N436" i="3" s="1"/>
  <c r="J436" i="3"/>
  <c r="I436" i="3"/>
  <c r="H436" i="3"/>
  <c r="G436" i="3"/>
  <c r="O436" i="3" s="1"/>
  <c r="F436" i="3"/>
  <c r="E436" i="3"/>
  <c r="D436" i="3"/>
  <c r="C436" i="3"/>
  <c r="B436" i="3"/>
  <c r="M436" i="3" s="1"/>
  <c r="A436" i="3"/>
  <c r="O435" i="3"/>
  <c r="K435" i="3"/>
  <c r="N435" i="3" s="1"/>
  <c r="J435" i="3"/>
  <c r="I435" i="3"/>
  <c r="H435" i="3"/>
  <c r="G435" i="3"/>
  <c r="F435" i="3"/>
  <c r="E435" i="3"/>
  <c r="D435" i="3"/>
  <c r="C435" i="3"/>
  <c r="B435" i="3"/>
  <c r="A435" i="3"/>
  <c r="N434" i="3"/>
  <c r="K434" i="3"/>
  <c r="J434" i="3"/>
  <c r="I434" i="3"/>
  <c r="H434" i="3"/>
  <c r="F434" i="3"/>
  <c r="G434" i="3" s="1"/>
  <c r="O434" i="3" s="1"/>
  <c r="E434" i="3"/>
  <c r="D434" i="3"/>
  <c r="C434" i="3"/>
  <c r="B434" i="3"/>
  <c r="A434" i="3"/>
  <c r="N433" i="3"/>
  <c r="M433" i="3"/>
  <c r="K433" i="3"/>
  <c r="J433" i="3"/>
  <c r="I433" i="3"/>
  <c r="H433" i="3"/>
  <c r="G433" i="3"/>
  <c r="O433" i="3" s="1"/>
  <c r="F433" i="3"/>
  <c r="E433" i="3"/>
  <c r="D433" i="3"/>
  <c r="C433" i="3"/>
  <c r="B433" i="3"/>
  <c r="L433" i="3" s="1"/>
  <c r="A433" i="3"/>
  <c r="N432" i="3"/>
  <c r="M432" i="3"/>
  <c r="L432" i="3"/>
  <c r="K432" i="3"/>
  <c r="J432" i="3"/>
  <c r="I432" i="3"/>
  <c r="H432" i="3"/>
  <c r="F432" i="3"/>
  <c r="E432" i="3"/>
  <c r="G432" i="3" s="1"/>
  <c r="O432" i="3" s="1"/>
  <c r="D432" i="3"/>
  <c r="C432" i="3"/>
  <c r="B432" i="3"/>
  <c r="A432" i="3"/>
  <c r="N431" i="3"/>
  <c r="M431" i="3"/>
  <c r="L431" i="3"/>
  <c r="K431" i="3"/>
  <c r="J431" i="3"/>
  <c r="I431" i="3"/>
  <c r="H431" i="3"/>
  <c r="F431" i="3"/>
  <c r="E431" i="3"/>
  <c r="G431" i="3" s="1"/>
  <c r="O431" i="3" s="1"/>
  <c r="D431" i="3"/>
  <c r="C431" i="3"/>
  <c r="B431" i="3"/>
  <c r="A431" i="3"/>
  <c r="K430" i="3"/>
  <c r="N430" i="3" s="1"/>
  <c r="J430" i="3"/>
  <c r="I430" i="3"/>
  <c r="H430" i="3"/>
  <c r="F430" i="3"/>
  <c r="E430" i="3"/>
  <c r="D430" i="3"/>
  <c r="C430" i="3"/>
  <c r="B430" i="3"/>
  <c r="M430" i="3" s="1"/>
  <c r="A430" i="3"/>
  <c r="L429" i="3"/>
  <c r="K429" i="3"/>
  <c r="N429" i="3" s="1"/>
  <c r="J429" i="3"/>
  <c r="I429" i="3"/>
  <c r="H429" i="3"/>
  <c r="F429" i="3"/>
  <c r="E429" i="3"/>
  <c r="G429" i="3" s="1"/>
  <c r="O429" i="3" s="1"/>
  <c r="D429" i="3"/>
  <c r="C429" i="3"/>
  <c r="B429" i="3"/>
  <c r="M429" i="3" s="1"/>
  <c r="A429" i="3"/>
  <c r="K428" i="3"/>
  <c r="N428" i="3" s="1"/>
  <c r="J428" i="3"/>
  <c r="I428" i="3"/>
  <c r="H428" i="3"/>
  <c r="G428" i="3"/>
  <c r="O428" i="3" s="1"/>
  <c r="F428" i="3"/>
  <c r="E428" i="3"/>
  <c r="D428" i="3"/>
  <c r="C428" i="3"/>
  <c r="B428" i="3"/>
  <c r="M428" i="3" s="1"/>
  <c r="A428" i="3"/>
  <c r="K427" i="3"/>
  <c r="N427" i="3" s="1"/>
  <c r="J427" i="3"/>
  <c r="I427" i="3"/>
  <c r="H427" i="3"/>
  <c r="G427" i="3"/>
  <c r="O427" i="3" s="1"/>
  <c r="F427" i="3"/>
  <c r="E427" i="3"/>
  <c r="D427" i="3"/>
  <c r="C427" i="3"/>
  <c r="B427" i="3"/>
  <c r="A427" i="3"/>
  <c r="N426" i="3"/>
  <c r="K426" i="3"/>
  <c r="J426" i="3"/>
  <c r="I426" i="3"/>
  <c r="H426" i="3"/>
  <c r="G426" i="3"/>
  <c r="O426" i="3" s="1"/>
  <c r="F426" i="3"/>
  <c r="E426" i="3"/>
  <c r="D426" i="3"/>
  <c r="C426" i="3"/>
  <c r="B426" i="3"/>
  <c r="A426" i="3"/>
  <c r="N425" i="3"/>
  <c r="M425" i="3"/>
  <c r="K425" i="3"/>
  <c r="J425" i="3"/>
  <c r="I425" i="3"/>
  <c r="H425" i="3"/>
  <c r="F425" i="3"/>
  <c r="E425" i="3"/>
  <c r="G425" i="3" s="1"/>
  <c r="O425" i="3" s="1"/>
  <c r="D425" i="3"/>
  <c r="C425" i="3"/>
  <c r="B425" i="3"/>
  <c r="L425" i="3" s="1"/>
  <c r="A425" i="3"/>
  <c r="N424" i="3"/>
  <c r="M424" i="3"/>
  <c r="L424" i="3"/>
  <c r="K424" i="3"/>
  <c r="J424" i="3"/>
  <c r="I424" i="3"/>
  <c r="H424" i="3"/>
  <c r="F424" i="3"/>
  <c r="E424" i="3"/>
  <c r="G424" i="3" s="1"/>
  <c r="O424" i="3" s="1"/>
  <c r="D424" i="3"/>
  <c r="C424" i="3"/>
  <c r="B424" i="3"/>
  <c r="A424" i="3"/>
  <c r="M423" i="3"/>
  <c r="L423" i="3"/>
  <c r="K423" i="3"/>
  <c r="N423" i="3" s="1"/>
  <c r="J423" i="3"/>
  <c r="I423" i="3"/>
  <c r="H423" i="3"/>
  <c r="G423" i="3"/>
  <c r="O423" i="3" s="1"/>
  <c r="F423" i="3"/>
  <c r="E423" i="3"/>
  <c r="D423" i="3"/>
  <c r="C423" i="3"/>
  <c r="B423" i="3"/>
  <c r="A423" i="3"/>
  <c r="N422" i="3"/>
  <c r="M422" i="3"/>
  <c r="L422" i="3"/>
  <c r="K422" i="3"/>
  <c r="J422" i="3"/>
  <c r="I422" i="3"/>
  <c r="H422" i="3"/>
  <c r="F422" i="3"/>
  <c r="E422" i="3"/>
  <c r="G422" i="3" s="1"/>
  <c r="O422" i="3" s="1"/>
  <c r="D422" i="3"/>
  <c r="C422" i="3"/>
  <c r="B422" i="3"/>
  <c r="A422" i="3"/>
  <c r="M421" i="3"/>
  <c r="L421" i="3"/>
  <c r="K421" i="3"/>
  <c r="N421" i="3" s="1"/>
  <c r="J421" i="3"/>
  <c r="I421" i="3"/>
  <c r="H421" i="3"/>
  <c r="F421" i="3"/>
  <c r="E421" i="3"/>
  <c r="G421" i="3" s="1"/>
  <c r="O421" i="3" s="1"/>
  <c r="D421" i="3"/>
  <c r="C421" i="3"/>
  <c r="B421" i="3"/>
  <c r="A421" i="3"/>
  <c r="L420" i="3"/>
  <c r="K420" i="3"/>
  <c r="N420" i="3" s="1"/>
  <c r="J420" i="3"/>
  <c r="I420" i="3"/>
  <c r="H420" i="3"/>
  <c r="F420" i="3"/>
  <c r="E420" i="3"/>
  <c r="G420" i="3" s="1"/>
  <c r="O420" i="3" s="1"/>
  <c r="D420" i="3"/>
  <c r="C420" i="3"/>
  <c r="B420" i="3"/>
  <c r="M420" i="3" s="1"/>
  <c r="A420" i="3"/>
  <c r="O419" i="3"/>
  <c r="K419" i="3"/>
  <c r="N419" i="3" s="1"/>
  <c r="J419" i="3"/>
  <c r="I419" i="3"/>
  <c r="H419" i="3"/>
  <c r="G419" i="3"/>
  <c r="F419" i="3"/>
  <c r="E419" i="3"/>
  <c r="D419" i="3"/>
  <c r="C419" i="3"/>
  <c r="B419" i="3"/>
  <c r="A419" i="3"/>
  <c r="N418" i="3"/>
  <c r="K418" i="3"/>
  <c r="J418" i="3"/>
  <c r="I418" i="3"/>
  <c r="H418" i="3"/>
  <c r="G418" i="3"/>
  <c r="O418" i="3" s="1"/>
  <c r="F418" i="3"/>
  <c r="E418" i="3"/>
  <c r="D418" i="3"/>
  <c r="C418" i="3"/>
  <c r="B418" i="3"/>
  <c r="A418" i="3"/>
  <c r="N417" i="3"/>
  <c r="M417" i="3"/>
  <c r="K417" i="3"/>
  <c r="J417" i="3"/>
  <c r="I417" i="3"/>
  <c r="H417" i="3"/>
  <c r="G417" i="3"/>
  <c r="O417" i="3" s="1"/>
  <c r="F417" i="3"/>
  <c r="E417" i="3"/>
  <c r="D417" i="3"/>
  <c r="C417" i="3"/>
  <c r="B417" i="3"/>
  <c r="L417" i="3" s="1"/>
  <c r="A417" i="3"/>
  <c r="N416" i="3"/>
  <c r="M416" i="3"/>
  <c r="L416" i="3"/>
  <c r="K416" i="3"/>
  <c r="J416" i="3"/>
  <c r="I416" i="3"/>
  <c r="H416" i="3"/>
  <c r="F416" i="3"/>
  <c r="E416" i="3"/>
  <c r="G416" i="3" s="1"/>
  <c r="O416" i="3" s="1"/>
  <c r="D416" i="3"/>
  <c r="C416" i="3"/>
  <c r="B416" i="3"/>
  <c r="A416" i="3"/>
  <c r="M415" i="3"/>
  <c r="L415" i="3"/>
  <c r="K415" i="3"/>
  <c r="N415" i="3" s="1"/>
  <c r="J415" i="3"/>
  <c r="I415" i="3"/>
  <c r="H415" i="3"/>
  <c r="F415" i="3"/>
  <c r="E415" i="3"/>
  <c r="G415" i="3" s="1"/>
  <c r="O415" i="3" s="1"/>
  <c r="D415" i="3"/>
  <c r="C415" i="3"/>
  <c r="B415" i="3"/>
  <c r="A415" i="3"/>
  <c r="K414" i="3"/>
  <c r="N414" i="3" s="1"/>
  <c r="J414" i="3"/>
  <c r="I414" i="3"/>
  <c r="H414" i="3"/>
  <c r="F414" i="3"/>
  <c r="E414" i="3"/>
  <c r="G414" i="3" s="1"/>
  <c r="O414" i="3" s="1"/>
  <c r="D414" i="3"/>
  <c r="C414" i="3"/>
  <c r="B414" i="3"/>
  <c r="A414" i="3"/>
  <c r="M413" i="3"/>
  <c r="K413" i="3"/>
  <c r="N413" i="3" s="1"/>
  <c r="J413" i="3"/>
  <c r="I413" i="3"/>
  <c r="H413" i="3"/>
  <c r="F413" i="3"/>
  <c r="E413" i="3"/>
  <c r="G413" i="3" s="1"/>
  <c r="O413" i="3" s="1"/>
  <c r="D413" i="3"/>
  <c r="C413" i="3"/>
  <c r="B413" i="3"/>
  <c r="L413" i="3" s="1"/>
  <c r="A413" i="3"/>
  <c r="K412" i="3"/>
  <c r="N412" i="3" s="1"/>
  <c r="J412" i="3"/>
  <c r="I412" i="3"/>
  <c r="H412" i="3"/>
  <c r="G412" i="3"/>
  <c r="O412" i="3" s="1"/>
  <c r="F412" i="3"/>
  <c r="E412" i="3"/>
  <c r="D412" i="3"/>
  <c r="C412" i="3"/>
  <c r="B412" i="3"/>
  <c r="A412" i="3"/>
  <c r="O411" i="3"/>
  <c r="K411" i="3"/>
  <c r="N411" i="3" s="1"/>
  <c r="J411" i="3"/>
  <c r="I411" i="3"/>
  <c r="H411" i="3"/>
  <c r="G411" i="3"/>
  <c r="F411" i="3"/>
  <c r="E411" i="3"/>
  <c r="D411" i="3"/>
  <c r="C411" i="3"/>
  <c r="B411" i="3"/>
  <c r="A411" i="3"/>
  <c r="N410" i="3"/>
  <c r="K410" i="3"/>
  <c r="J410" i="3"/>
  <c r="I410" i="3"/>
  <c r="H410" i="3"/>
  <c r="F410" i="3"/>
  <c r="G410" i="3" s="1"/>
  <c r="O410" i="3" s="1"/>
  <c r="E410" i="3"/>
  <c r="D410" i="3"/>
  <c r="C410" i="3"/>
  <c r="B410" i="3"/>
  <c r="A410" i="3"/>
  <c r="N409" i="3"/>
  <c r="M409" i="3"/>
  <c r="K409" i="3"/>
  <c r="J409" i="3"/>
  <c r="I409" i="3"/>
  <c r="H409" i="3"/>
  <c r="G409" i="3"/>
  <c r="O409" i="3" s="1"/>
  <c r="F409" i="3"/>
  <c r="E409" i="3"/>
  <c r="D409" i="3"/>
  <c r="C409" i="3"/>
  <c r="B409" i="3"/>
  <c r="L409" i="3" s="1"/>
  <c r="A409" i="3"/>
  <c r="N408" i="3"/>
  <c r="M408" i="3"/>
  <c r="L408" i="3"/>
  <c r="K408" i="3"/>
  <c r="J408" i="3"/>
  <c r="I408" i="3"/>
  <c r="H408" i="3"/>
  <c r="G408" i="3"/>
  <c r="O408" i="3" s="1"/>
  <c r="F408" i="3"/>
  <c r="E408" i="3"/>
  <c r="D408" i="3"/>
  <c r="C408" i="3"/>
  <c r="B408" i="3"/>
  <c r="A408" i="3"/>
  <c r="N407" i="3"/>
  <c r="M407" i="3"/>
  <c r="L407" i="3"/>
  <c r="K407" i="3"/>
  <c r="J407" i="3"/>
  <c r="I407" i="3"/>
  <c r="H407" i="3"/>
  <c r="G407" i="3"/>
  <c r="O407" i="3" s="1"/>
  <c r="F407" i="3"/>
  <c r="E407" i="3"/>
  <c r="D407" i="3"/>
  <c r="C407" i="3"/>
  <c r="B407" i="3"/>
  <c r="A407" i="3"/>
  <c r="M406" i="3"/>
  <c r="L406" i="3"/>
  <c r="K406" i="3"/>
  <c r="N406" i="3" s="1"/>
  <c r="J406" i="3"/>
  <c r="I406" i="3"/>
  <c r="H406" i="3"/>
  <c r="F406" i="3"/>
  <c r="E406" i="3"/>
  <c r="D406" i="3"/>
  <c r="C406" i="3"/>
  <c r="B406" i="3"/>
  <c r="A406" i="3"/>
  <c r="L405" i="3"/>
  <c r="K405" i="3"/>
  <c r="N405" i="3" s="1"/>
  <c r="J405" i="3"/>
  <c r="I405" i="3"/>
  <c r="H405" i="3"/>
  <c r="F405" i="3"/>
  <c r="E405" i="3"/>
  <c r="G405" i="3" s="1"/>
  <c r="O405" i="3" s="1"/>
  <c r="D405" i="3"/>
  <c r="C405" i="3"/>
  <c r="B405" i="3"/>
  <c r="M405" i="3" s="1"/>
  <c r="A405" i="3"/>
  <c r="L404" i="3"/>
  <c r="K404" i="3"/>
  <c r="N404" i="3" s="1"/>
  <c r="J404" i="3"/>
  <c r="I404" i="3"/>
  <c r="H404" i="3"/>
  <c r="G404" i="3"/>
  <c r="O404" i="3" s="1"/>
  <c r="F404" i="3"/>
  <c r="E404" i="3"/>
  <c r="D404" i="3"/>
  <c r="C404" i="3"/>
  <c r="B404" i="3"/>
  <c r="M404" i="3" s="1"/>
  <c r="A404" i="3"/>
  <c r="K403" i="3"/>
  <c r="N403" i="3" s="1"/>
  <c r="J403" i="3"/>
  <c r="I403" i="3"/>
  <c r="H403" i="3"/>
  <c r="G403" i="3"/>
  <c r="O403" i="3" s="1"/>
  <c r="F403" i="3"/>
  <c r="E403" i="3"/>
  <c r="D403" i="3"/>
  <c r="C403" i="3"/>
  <c r="B403" i="3"/>
  <c r="A403" i="3"/>
  <c r="O402" i="3"/>
  <c r="N402" i="3"/>
  <c r="K402" i="3"/>
  <c r="J402" i="3"/>
  <c r="I402" i="3"/>
  <c r="H402" i="3"/>
  <c r="G402" i="3"/>
  <c r="F402" i="3"/>
  <c r="E402" i="3"/>
  <c r="D402" i="3"/>
  <c r="C402" i="3"/>
  <c r="B402" i="3"/>
  <c r="A402" i="3"/>
  <c r="N401" i="3"/>
  <c r="M401" i="3"/>
  <c r="L401" i="3"/>
  <c r="K401" i="3"/>
  <c r="J401" i="3"/>
  <c r="I401" i="3"/>
  <c r="H401" i="3"/>
  <c r="G401" i="3"/>
  <c r="O401" i="3" s="1"/>
  <c r="F401" i="3"/>
  <c r="E401" i="3"/>
  <c r="D401" i="3"/>
  <c r="C401" i="3"/>
  <c r="B401" i="3"/>
  <c r="A401" i="3"/>
  <c r="N400" i="3"/>
  <c r="M400" i="3"/>
  <c r="L400" i="3"/>
  <c r="K400" i="3"/>
  <c r="J400" i="3"/>
  <c r="I400" i="3"/>
  <c r="H400" i="3"/>
  <c r="F400" i="3"/>
  <c r="E400" i="3"/>
  <c r="G400" i="3" s="1"/>
  <c r="O400" i="3" s="1"/>
  <c r="D400" i="3"/>
  <c r="C400" i="3"/>
  <c r="B400" i="3"/>
  <c r="A400" i="3"/>
  <c r="N399" i="3"/>
  <c r="M399" i="3"/>
  <c r="K399" i="3"/>
  <c r="J399" i="3"/>
  <c r="I399" i="3"/>
  <c r="H399" i="3"/>
  <c r="F399" i="3"/>
  <c r="E399" i="3"/>
  <c r="G399" i="3" s="1"/>
  <c r="O399" i="3" s="1"/>
  <c r="D399" i="3"/>
  <c r="C399" i="3"/>
  <c r="B399" i="3"/>
  <c r="L399" i="3" s="1"/>
  <c r="A399" i="3"/>
  <c r="K398" i="3"/>
  <c r="N398" i="3" s="1"/>
  <c r="J398" i="3"/>
  <c r="I398" i="3"/>
  <c r="H398" i="3"/>
  <c r="F398" i="3"/>
  <c r="E398" i="3"/>
  <c r="D398" i="3"/>
  <c r="C398" i="3"/>
  <c r="B398" i="3"/>
  <c r="A398" i="3"/>
  <c r="L397" i="3"/>
  <c r="K397" i="3"/>
  <c r="N397" i="3" s="1"/>
  <c r="J397" i="3"/>
  <c r="I397" i="3"/>
  <c r="H397" i="3"/>
  <c r="F397" i="3"/>
  <c r="E397" i="3"/>
  <c r="G397" i="3" s="1"/>
  <c r="O397" i="3" s="1"/>
  <c r="D397" i="3"/>
  <c r="C397" i="3"/>
  <c r="B397" i="3"/>
  <c r="M397" i="3" s="1"/>
  <c r="A397" i="3"/>
  <c r="K396" i="3"/>
  <c r="N396" i="3" s="1"/>
  <c r="J396" i="3"/>
  <c r="I396" i="3"/>
  <c r="H396" i="3"/>
  <c r="G396" i="3"/>
  <c r="O396" i="3" s="1"/>
  <c r="F396" i="3"/>
  <c r="E396" i="3"/>
  <c r="D396" i="3"/>
  <c r="C396" i="3"/>
  <c r="B396" i="3"/>
  <c r="M396" i="3" s="1"/>
  <c r="A396" i="3"/>
  <c r="O395" i="3"/>
  <c r="N395" i="3"/>
  <c r="K395" i="3"/>
  <c r="J395" i="3"/>
  <c r="I395" i="3"/>
  <c r="H395" i="3"/>
  <c r="G395" i="3"/>
  <c r="F395" i="3"/>
  <c r="E395" i="3"/>
  <c r="D395" i="3"/>
  <c r="C395" i="3"/>
  <c r="B395" i="3"/>
  <c r="A395" i="3"/>
  <c r="O394" i="3"/>
  <c r="N394" i="3"/>
  <c r="K394" i="3"/>
  <c r="J394" i="3"/>
  <c r="I394" i="3"/>
  <c r="H394" i="3"/>
  <c r="F394" i="3"/>
  <c r="E394" i="3"/>
  <c r="G394" i="3" s="1"/>
  <c r="D394" i="3"/>
  <c r="C394" i="3"/>
  <c r="B394" i="3"/>
  <c r="L394" i="3" s="1"/>
  <c r="A394" i="3"/>
  <c r="N393" i="3"/>
  <c r="M393" i="3"/>
  <c r="L393" i="3"/>
  <c r="K393" i="3"/>
  <c r="J393" i="3"/>
  <c r="I393" i="3"/>
  <c r="H393" i="3"/>
  <c r="F393" i="3"/>
  <c r="E393" i="3"/>
  <c r="G393" i="3" s="1"/>
  <c r="O393" i="3" s="1"/>
  <c r="D393" i="3"/>
  <c r="C393" i="3"/>
  <c r="B393" i="3"/>
  <c r="A393" i="3"/>
  <c r="M392" i="3"/>
  <c r="L392" i="3"/>
  <c r="K392" i="3"/>
  <c r="N392" i="3" s="1"/>
  <c r="J392" i="3"/>
  <c r="I392" i="3"/>
  <c r="H392" i="3"/>
  <c r="G392" i="3"/>
  <c r="O392" i="3" s="1"/>
  <c r="F392" i="3"/>
  <c r="E392" i="3"/>
  <c r="D392" i="3"/>
  <c r="C392" i="3"/>
  <c r="B392" i="3"/>
  <c r="A392" i="3"/>
  <c r="K391" i="3"/>
  <c r="N391" i="3" s="1"/>
  <c r="J391" i="3"/>
  <c r="I391" i="3"/>
  <c r="H391" i="3"/>
  <c r="G391" i="3"/>
  <c r="O391" i="3" s="1"/>
  <c r="F391" i="3"/>
  <c r="E391" i="3"/>
  <c r="D391" i="3"/>
  <c r="C391" i="3"/>
  <c r="B391" i="3"/>
  <c r="M391" i="3" s="1"/>
  <c r="A391" i="3"/>
  <c r="N390" i="3"/>
  <c r="M390" i="3"/>
  <c r="L390" i="3"/>
  <c r="K390" i="3"/>
  <c r="J390" i="3"/>
  <c r="I390" i="3"/>
  <c r="H390" i="3"/>
  <c r="F390" i="3"/>
  <c r="E390" i="3"/>
  <c r="G390" i="3" s="1"/>
  <c r="O390" i="3" s="1"/>
  <c r="D390" i="3"/>
  <c r="C390" i="3"/>
  <c r="B390" i="3"/>
  <c r="A390" i="3"/>
  <c r="M389" i="3"/>
  <c r="L389" i="3"/>
  <c r="K389" i="3"/>
  <c r="N389" i="3" s="1"/>
  <c r="J389" i="3"/>
  <c r="I389" i="3"/>
  <c r="H389" i="3"/>
  <c r="F389" i="3"/>
  <c r="E389" i="3"/>
  <c r="G389" i="3" s="1"/>
  <c r="O389" i="3" s="1"/>
  <c r="D389" i="3"/>
  <c r="C389" i="3"/>
  <c r="B389" i="3"/>
  <c r="A389" i="3"/>
  <c r="O388" i="3"/>
  <c r="L388" i="3"/>
  <c r="K388" i="3"/>
  <c r="N388" i="3" s="1"/>
  <c r="J388" i="3"/>
  <c r="I388" i="3"/>
  <c r="H388" i="3"/>
  <c r="G388" i="3"/>
  <c r="F388" i="3"/>
  <c r="E388" i="3"/>
  <c r="D388" i="3"/>
  <c r="C388" i="3"/>
  <c r="B388" i="3"/>
  <c r="M388" i="3" s="1"/>
  <c r="A388" i="3"/>
  <c r="K387" i="3"/>
  <c r="N387" i="3" s="1"/>
  <c r="J387" i="3"/>
  <c r="I387" i="3"/>
  <c r="H387" i="3"/>
  <c r="F387" i="3"/>
  <c r="G387" i="3" s="1"/>
  <c r="O387" i="3" s="1"/>
  <c r="E387" i="3"/>
  <c r="D387" i="3"/>
  <c r="C387" i="3"/>
  <c r="B387" i="3"/>
  <c r="A387" i="3"/>
  <c r="N386" i="3"/>
  <c r="M386" i="3"/>
  <c r="K386" i="3"/>
  <c r="J386" i="3"/>
  <c r="I386" i="3"/>
  <c r="H386" i="3"/>
  <c r="G386" i="3"/>
  <c r="O386" i="3" s="1"/>
  <c r="F386" i="3"/>
  <c r="E386" i="3"/>
  <c r="D386" i="3"/>
  <c r="C386" i="3"/>
  <c r="B386" i="3"/>
  <c r="L386" i="3" s="1"/>
  <c r="A386" i="3"/>
  <c r="N385" i="3"/>
  <c r="M385" i="3"/>
  <c r="L385" i="3"/>
  <c r="K385" i="3"/>
  <c r="J385" i="3"/>
  <c r="I385" i="3"/>
  <c r="H385" i="3"/>
  <c r="G385" i="3"/>
  <c r="O385" i="3" s="1"/>
  <c r="F385" i="3"/>
  <c r="E385" i="3"/>
  <c r="D385" i="3"/>
  <c r="C385" i="3"/>
  <c r="B385" i="3"/>
  <c r="A385" i="3"/>
  <c r="N384" i="3"/>
  <c r="M384" i="3"/>
  <c r="L384" i="3"/>
  <c r="K384" i="3"/>
  <c r="J384" i="3"/>
  <c r="I384" i="3"/>
  <c r="H384" i="3"/>
  <c r="F384" i="3"/>
  <c r="G384" i="3" s="1"/>
  <c r="O384" i="3" s="1"/>
  <c r="E384" i="3"/>
  <c r="D384" i="3"/>
  <c r="C384" i="3"/>
  <c r="B384" i="3"/>
  <c r="A384" i="3"/>
  <c r="N383" i="3"/>
  <c r="M383" i="3"/>
  <c r="L383" i="3"/>
  <c r="K383" i="3"/>
  <c r="J383" i="3"/>
  <c r="I383" i="3"/>
  <c r="H383" i="3"/>
  <c r="F383" i="3"/>
  <c r="E383" i="3"/>
  <c r="G383" i="3" s="1"/>
  <c r="O383" i="3" s="1"/>
  <c r="D383" i="3"/>
  <c r="C383" i="3"/>
  <c r="B383" i="3"/>
  <c r="A383" i="3"/>
  <c r="K382" i="3"/>
  <c r="N382" i="3" s="1"/>
  <c r="J382" i="3"/>
  <c r="I382" i="3"/>
  <c r="H382" i="3"/>
  <c r="F382" i="3"/>
  <c r="E382" i="3"/>
  <c r="D382" i="3"/>
  <c r="C382" i="3"/>
  <c r="B382" i="3"/>
  <c r="A382" i="3"/>
  <c r="K381" i="3"/>
  <c r="N381" i="3" s="1"/>
  <c r="J381" i="3"/>
  <c r="I381" i="3"/>
  <c r="H381" i="3"/>
  <c r="F381" i="3"/>
  <c r="E381" i="3"/>
  <c r="G381" i="3" s="1"/>
  <c r="O381" i="3" s="1"/>
  <c r="D381" i="3"/>
  <c r="C381" i="3"/>
  <c r="B381" i="3"/>
  <c r="A381" i="3"/>
  <c r="L380" i="3"/>
  <c r="K380" i="3"/>
  <c r="N380" i="3" s="1"/>
  <c r="J380" i="3"/>
  <c r="I380" i="3"/>
  <c r="H380" i="3"/>
  <c r="G380" i="3"/>
  <c r="O380" i="3" s="1"/>
  <c r="F380" i="3"/>
  <c r="E380" i="3"/>
  <c r="D380" i="3"/>
  <c r="C380" i="3"/>
  <c r="B380" i="3"/>
  <c r="M380" i="3" s="1"/>
  <c r="A380" i="3"/>
  <c r="N379" i="3"/>
  <c r="K379" i="3"/>
  <c r="J379" i="3"/>
  <c r="I379" i="3"/>
  <c r="H379" i="3"/>
  <c r="G379" i="3"/>
  <c r="O379" i="3" s="1"/>
  <c r="F379" i="3"/>
  <c r="E379" i="3"/>
  <c r="D379" i="3"/>
  <c r="C379" i="3"/>
  <c r="B379" i="3"/>
  <c r="A379" i="3"/>
  <c r="N378" i="3"/>
  <c r="K378" i="3"/>
  <c r="J378" i="3"/>
  <c r="I378" i="3"/>
  <c r="H378" i="3"/>
  <c r="F378" i="3"/>
  <c r="G378" i="3" s="1"/>
  <c r="O378" i="3" s="1"/>
  <c r="E378" i="3"/>
  <c r="D378" i="3"/>
  <c r="C378" i="3"/>
  <c r="B378" i="3"/>
  <c r="A378" i="3"/>
  <c r="N377" i="3"/>
  <c r="M377" i="3"/>
  <c r="L377" i="3"/>
  <c r="K377" i="3"/>
  <c r="J377" i="3"/>
  <c r="I377" i="3"/>
  <c r="H377" i="3"/>
  <c r="F377" i="3"/>
  <c r="E377" i="3"/>
  <c r="D377" i="3"/>
  <c r="C377" i="3"/>
  <c r="B377" i="3"/>
  <c r="A377" i="3"/>
  <c r="M376" i="3"/>
  <c r="L376" i="3"/>
  <c r="K376" i="3"/>
  <c r="N376" i="3" s="1"/>
  <c r="J376" i="3"/>
  <c r="I376" i="3"/>
  <c r="H376" i="3"/>
  <c r="F376" i="3"/>
  <c r="E376" i="3"/>
  <c r="G376" i="3" s="1"/>
  <c r="O376" i="3" s="1"/>
  <c r="D376" i="3"/>
  <c r="C376" i="3"/>
  <c r="B376" i="3"/>
  <c r="A376" i="3"/>
  <c r="L375" i="3"/>
  <c r="K375" i="3"/>
  <c r="N375" i="3" s="1"/>
  <c r="J375" i="3"/>
  <c r="I375" i="3"/>
  <c r="H375" i="3"/>
  <c r="G375" i="3"/>
  <c r="O375" i="3" s="1"/>
  <c r="F375" i="3"/>
  <c r="E375" i="3"/>
  <c r="D375" i="3"/>
  <c r="C375" i="3"/>
  <c r="B375" i="3"/>
  <c r="M375" i="3" s="1"/>
  <c r="A375" i="3"/>
  <c r="K374" i="3"/>
  <c r="N374" i="3" s="1"/>
  <c r="J374" i="3"/>
  <c r="I374" i="3"/>
  <c r="H374" i="3"/>
  <c r="F374" i="3"/>
  <c r="E374" i="3"/>
  <c r="D374" i="3"/>
  <c r="C374" i="3"/>
  <c r="B374" i="3"/>
  <c r="A374" i="3"/>
  <c r="L373" i="3"/>
  <c r="K373" i="3"/>
  <c r="N373" i="3" s="1"/>
  <c r="J373" i="3"/>
  <c r="I373" i="3"/>
  <c r="H373" i="3"/>
  <c r="F373" i="3"/>
  <c r="E373" i="3"/>
  <c r="D373" i="3"/>
  <c r="C373" i="3"/>
  <c r="B373" i="3"/>
  <c r="M373" i="3" s="1"/>
  <c r="A373" i="3"/>
  <c r="M372" i="3"/>
  <c r="L372" i="3"/>
  <c r="K372" i="3"/>
  <c r="N372" i="3" s="1"/>
  <c r="J372" i="3"/>
  <c r="I372" i="3"/>
  <c r="H372" i="3"/>
  <c r="F372" i="3"/>
  <c r="E372" i="3"/>
  <c r="G372" i="3" s="1"/>
  <c r="O372" i="3" s="1"/>
  <c r="D372" i="3"/>
  <c r="C372" i="3"/>
  <c r="B372" i="3"/>
  <c r="A372" i="3"/>
  <c r="L371" i="3"/>
  <c r="K371" i="3"/>
  <c r="N371" i="3" s="1"/>
  <c r="J371" i="3"/>
  <c r="I371" i="3"/>
  <c r="H371" i="3"/>
  <c r="G371" i="3"/>
  <c r="O371" i="3" s="1"/>
  <c r="F371" i="3"/>
  <c r="E371" i="3"/>
  <c r="D371" i="3"/>
  <c r="C371" i="3"/>
  <c r="B371" i="3"/>
  <c r="M371" i="3" s="1"/>
  <c r="A371" i="3"/>
  <c r="N370" i="3"/>
  <c r="K370" i="3"/>
  <c r="J370" i="3"/>
  <c r="I370" i="3"/>
  <c r="H370" i="3"/>
  <c r="F370" i="3"/>
  <c r="E370" i="3"/>
  <c r="D370" i="3"/>
  <c r="C370" i="3"/>
  <c r="B370" i="3"/>
  <c r="A370" i="3"/>
  <c r="N369" i="3"/>
  <c r="K369" i="3"/>
  <c r="J369" i="3"/>
  <c r="I369" i="3"/>
  <c r="H369" i="3"/>
  <c r="F369" i="3"/>
  <c r="E369" i="3"/>
  <c r="G369" i="3" s="1"/>
  <c r="O369" i="3" s="1"/>
  <c r="D369" i="3"/>
  <c r="C369" i="3"/>
  <c r="B369" i="3"/>
  <c r="L369" i="3" s="1"/>
  <c r="A369" i="3"/>
  <c r="M368" i="3"/>
  <c r="L368" i="3"/>
  <c r="K368" i="3"/>
  <c r="N368" i="3" s="1"/>
  <c r="J368" i="3"/>
  <c r="I368" i="3"/>
  <c r="H368" i="3"/>
  <c r="G368" i="3"/>
  <c r="O368" i="3" s="1"/>
  <c r="F368" i="3"/>
  <c r="E368" i="3"/>
  <c r="D368" i="3"/>
  <c r="C368" i="3"/>
  <c r="B368" i="3"/>
  <c r="A368" i="3"/>
  <c r="K367" i="3"/>
  <c r="N367" i="3" s="1"/>
  <c r="J367" i="3"/>
  <c r="I367" i="3"/>
  <c r="H367" i="3"/>
  <c r="G367" i="3"/>
  <c r="O367" i="3" s="1"/>
  <c r="F367" i="3"/>
  <c r="E367" i="3"/>
  <c r="D367" i="3"/>
  <c r="C367" i="3"/>
  <c r="B367" i="3"/>
  <c r="M367" i="3" s="1"/>
  <c r="A367" i="3"/>
  <c r="O366" i="3"/>
  <c r="N366" i="3"/>
  <c r="K366" i="3"/>
  <c r="J366" i="3"/>
  <c r="I366" i="3"/>
  <c r="H366" i="3"/>
  <c r="G366" i="3"/>
  <c r="F366" i="3"/>
  <c r="E366" i="3"/>
  <c r="D366" i="3"/>
  <c r="C366" i="3"/>
  <c r="B366" i="3"/>
  <c r="A366" i="3"/>
  <c r="N365" i="3"/>
  <c r="M365" i="3"/>
  <c r="L365" i="3"/>
  <c r="K365" i="3"/>
  <c r="J365" i="3"/>
  <c r="I365" i="3"/>
  <c r="H365" i="3"/>
  <c r="F365" i="3"/>
  <c r="E365" i="3"/>
  <c r="G365" i="3" s="1"/>
  <c r="O365" i="3" s="1"/>
  <c r="D365" i="3"/>
  <c r="C365" i="3"/>
  <c r="B365" i="3"/>
  <c r="A365" i="3"/>
  <c r="M364" i="3"/>
  <c r="L364" i="3"/>
  <c r="K364" i="3"/>
  <c r="N364" i="3" s="1"/>
  <c r="J364" i="3"/>
  <c r="I364" i="3"/>
  <c r="H364" i="3"/>
  <c r="F364" i="3"/>
  <c r="E364" i="3"/>
  <c r="G364" i="3" s="1"/>
  <c r="O364" i="3" s="1"/>
  <c r="D364" i="3"/>
  <c r="C364" i="3"/>
  <c r="B364" i="3"/>
  <c r="A364" i="3"/>
  <c r="O363" i="3"/>
  <c r="L363" i="3"/>
  <c r="K363" i="3"/>
  <c r="N363" i="3" s="1"/>
  <c r="J363" i="3"/>
  <c r="I363" i="3"/>
  <c r="H363" i="3"/>
  <c r="G363" i="3"/>
  <c r="F363" i="3"/>
  <c r="E363" i="3"/>
  <c r="D363" i="3"/>
  <c r="C363" i="3"/>
  <c r="B363" i="3"/>
  <c r="M363" i="3" s="1"/>
  <c r="A363" i="3"/>
  <c r="K362" i="3"/>
  <c r="N362" i="3" s="1"/>
  <c r="J362" i="3"/>
  <c r="I362" i="3"/>
  <c r="H362" i="3"/>
  <c r="F362" i="3"/>
  <c r="E362" i="3"/>
  <c r="D362" i="3"/>
  <c r="C362" i="3"/>
  <c r="B362" i="3"/>
  <c r="A362" i="3"/>
  <c r="N361" i="3"/>
  <c r="K361" i="3"/>
  <c r="J361" i="3"/>
  <c r="I361" i="3"/>
  <c r="H361" i="3"/>
  <c r="F361" i="3"/>
  <c r="E361" i="3"/>
  <c r="G361" i="3" s="1"/>
  <c r="O361" i="3" s="1"/>
  <c r="D361" i="3"/>
  <c r="C361" i="3"/>
  <c r="B361" i="3"/>
  <c r="L361" i="3" s="1"/>
  <c r="A361" i="3"/>
  <c r="M360" i="3"/>
  <c r="L360" i="3"/>
  <c r="K360" i="3"/>
  <c r="N360" i="3" s="1"/>
  <c r="J360" i="3"/>
  <c r="I360" i="3"/>
  <c r="H360" i="3"/>
  <c r="G360" i="3"/>
  <c r="O360" i="3" s="1"/>
  <c r="F360" i="3"/>
  <c r="E360" i="3"/>
  <c r="D360" i="3"/>
  <c r="C360" i="3"/>
  <c r="B360" i="3"/>
  <c r="A360" i="3"/>
  <c r="O359" i="3"/>
  <c r="K359" i="3"/>
  <c r="N359" i="3" s="1"/>
  <c r="J359" i="3"/>
  <c r="I359" i="3"/>
  <c r="H359" i="3"/>
  <c r="G359" i="3"/>
  <c r="F359" i="3"/>
  <c r="E359" i="3"/>
  <c r="D359" i="3"/>
  <c r="C359" i="3"/>
  <c r="B359" i="3"/>
  <c r="M359" i="3" s="1"/>
  <c r="A359" i="3"/>
  <c r="N358" i="3"/>
  <c r="K358" i="3"/>
  <c r="J358" i="3"/>
  <c r="I358" i="3"/>
  <c r="H358" i="3"/>
  <c r="F358" i="3"/>
  <c r="G358" i="3" s="1"/>
  <c r="O358" i="3" s="1"/>
  <c r="E358" i="3"/>
  <c r="D358" i="3"/>
  <c r="C358" i="3"/>
  <c r="B358" i="3"/>
  <c r="A358" i="3"/>
  <c r="N357" i="3"/>
  <c r="M357" i="3"/>
  <c r="L357" i="3"/>
  <c r="K357" i="3"/>
  <c r="J357" i="3"/>
  <c r="I357" i="3"/>
  <c r="H357" i="3"/>
  <c r="F357" i="3"/>
  <c r="E357" i="3"/>
  <c r="G357" i="3" s="1"/>
  <c r="O357" i="3" s="1"/>
  <c r="D357" i="3"/>
  <c r="C357" i="3"/>
  <c r="B357" i="3"/>
  <c r="A357" i="3"/>
  <c r="M356" i="3"/>
  <c r="L356" i="3"/>
  <c r="K356" i="3"/>
  <c r="N356" i="3" s="1"/>
  <c r="J356" i="3"/>
  <c r="I356" i="3"/>
  <c r="H356" i="3"/>
  <c r="F356" i="3"/>
  <c r="E356" i="3"/>
  <c r="G356" i="3" s="1"/>
  <c r="O356" i="3" s="1"/>
  <c r="D356" i="3"/>
  <c r="C356" i="3"/>
  <c r="B356" i="3"/>
  <c r="A356" i="3"/>
  <c r="O355" i="3"/>
  <c r="L355" i="3"/>
  <c r="K355" i="3"/>
  <c r="N355" i="3" s="1"/>
  <c r="J355" i="3"/>
  <c r="I355" i="3"/>
  <c r="H355" i="3"/>
  <c r="G355" i="3"/>
  <c r="F355" i="3"/>
  <c r="E355" i="3"/>
  <c r="D355" i="3"/>
  <c r="C355" i="3"/>
  <c r="B355" i="3"/>
  <c r="M355" i="3" s="1"/>
  <c r="A355" i="3"/>
  <c r="N354" i="3"/>
  <c r="K354" i="3"/>
  <c r="J354" i="3"/>
  <c r="I354" i="3"/>
  <c r="H354" i="3"/>
  <c r="F354" i="3"/>
  <c r="E354" i="3"/>
  <c r="G354" i="3" s="1"/>
  <c r="O354" i="3" s="1"/>
  <c r="D354" i="3"/>
  <c r="C354" i="3"/>
  <c r="B354" i="3"/>
  <c r="A354" i="3"/>
  <c r="N353" i="3"/>
  <c r="M353" i="3"/>
  <c r="K353" i="3"/>
  <c r="J353" i="3"/>
  <c r="I353" i="3"/>
  <c r="H353" i="3"/>
  <c r="F353" i="3"/>
  <c r="E353" i="3"/>
  <c r="G353" i="3" s="1"/>
  <c r="O353" i="3" s="1"/>
  <c r="D353" i="3"/>
  <c r="C353" i="3"/>
  <c r="B353" i="3"/>
  <c r="L353" i="3" s="1"/>
  <c r="A353" i="3"/>
  <c r="M352" i="3"/>
  <c r="L352" i="3"/>
  <c r="K352" i="3"/>
  <c r="N352" i="3" s="1"/>
  <c r="J352" i="3"/>
  <c r="I352" i="3"/>
  <c r="H352" i="3"/>
  <c r="G352" i="3"/>
  <c r="O352" i="3" s="1"/>
  <c r="F352" i="3"/>
  <c r="E352" i="3"/>
  <c r="D352" i="3"/>
  <c r="C352" i="3"/>
  <c r="B352" i="3"/>
  <c r="A352" i="3"/>
  <c r="O351" i="3"/>
  <c r="K351" i="3"/>
  <c r="N351" i="3" s="1"/>
  <c r="J351" i="3"/>
  <c r="I351" i="3"/>
  <c r="H351" i="3"/>
  <c r="G351" i="3"/>
  <c r="F351" i="3"/>
  <c r="E351" i="3"/>
  <c r="D351" i="3"/>
  <c r="C351" i="3"/>
  <c r="B351" i="3"/>
  <c r="M351" i="3" s="1"/>
  <c r="A351" i="3"/>
  <c r="N350" i="3"/>
  <c r="K350" i="3"/>
  <c r="J350" i="3"/>
  <c r="I350" i="3"/>
  <c r="H350" i="3"/>
  <c r="F350" i="3"/>
  <c r="G350" i="3" s="1"/>
  <c r="O350" i="3" s="1"/>
  <c r="E350" i="3"/>
  <c r="D350" i="3"/>
  <c r="C350" i="3"/>
  <c r="B350" i="3"/>
  <c r="A350" i="3"/>
  <c r="N349" i="3"/>
  <c r="M349" i="3"/>
  <c r="L349" i="3"/>
  <c r="K349" i="3"/>
  <c r="J349" i="3"/>
  <c r="I349" i="3"/>
  <c r="H349" i="3"/>
  <c r="F349" i="3"/>
  <c r="E349" i="3"/>
  <c r="G349" i="3" s="1"/>
  <c r="O349" i="3" s="1"/>
  <c r="D349" i="3"/>
  <c r="C349" i="3"/>
  <c r="B349" i="3"/>
  <c r="A349" i="3"/>
  <c r="M348" i="3"/>
  <c r="L348" i="3"/>
  <c r="K348" i="3"/>
  <c r="N348" i="3" s="1"/>
  <c r="J348" i="3"/>
  <c r="I348" i="3"/>
  <c r="H348" i="3"/>
  <c r="F348" i="3"/>
  <c r="E348" i="3"/>
  <c r="G348" i="3" s="1"/>
  <c r="O348" i="3" s="1"/>
  <c r="D348" i="3"/>
  <c r="C348" i="3"/>
  <c r="B348" i="3"/>
  <c r="A348" i="3"/>
  <c r="O347" i="3"/>
  <c r="K347" i="3"/>
  <c r="N347" i="3" s="1"/>
  <c r="J347" i="3"/>
  <c r="I347" i="3"/>
  <c r="H347" i="3"/>
  <c r="G347" i="3"/>
  <c r="F347" i="3"/>
  <c r="E347" i="3"/>
  <c r="D347" i="3"/>
  <c r="C347" i="3"/>
  <c r="B347" i="3"/>
  <c r="M347" i="3" s="1"/>
  <c r="A347" i="3"/>
  <c r="N346" i="3"/>
  <c r="K346" i="3"/>
  <c r="J346" i="3"/>
  <c r="I346" i="3"/>
  <c r="H346" i="3"/>
  <c r="F346" i="3"/>
  <c r="E346" i="3"/>
  <c r="G346" i="3" s="1"/>
  <c r="O346" i="3" s="1"/>
  <c r="D346" i="3"/>
  <c r="C346" i="3"/>
  <c r="B346" i="3"/>
  <c r="A346" i="3"/>
  <c r="N345" i="3"/>
  <c r="M345" i="3"/>
  <c r="K345" i="3"/>
  <c r="J345" i="3"/>
  <c r="I345" i="3"/>
  <c r="H345" i="3"/>
  <c r="F345" i="3"/>
  <c r="E345" i="3"/>
  <c r="G345" i="3" s="1"/>
  <c r="O345" i="3" s="1"/>
  <c r="D345" i="3"/>
  <c r="C345" i="3"/>
  <c r="B345" i="3"/>
  <c r="L345" i="3" s="1"/>
  <c r="A345" i="3"/>
  <c r="M344" i="3"/>
  <c r="L344" i="3"/>
  <c r="K344" i="3"/>
  <c r="N344" i="3" s="1"/>
  <c r="J344" i="3"/>
  <c r="I344" i="3"/>
  <c r="H344" i="3"/>
  <c r="G344" i="3"/>
  <c r="O344" i="3" s="1"/>
  <c r="F344" i="3"/>
  <c r="E344" i="3"/>
  <c r="D344" i="3"/>
  <c r="C344" i="3"/>
  <c r="B344" i="3"/>
  <c r="A344" i="3"/>
  <c r="N343" i="3"/>
  <c r="K343" i="3"/>
  <c r="J343" i="3"/>
  <c r="I343" i="3"/>
  <c r="H343" i="3"/>
  <c r="F343" i="3"/>
  <c r="G343" i="3" s="1"/>
  <c r="O343" i="3" s="1"/>
  <c r="E343" i="3"/>
  <c r="D343" i="3"/>
  <c r="C343" i="3"/>
  <c r="B343" i="3"/>
  <c r="M343" i="3" s="1"/>
  <c r="A343" i="3"/>
  <c r="N342" i="3"/>
  <c r="K342" i="3"/>
  <c r="J342" i="3"/>
  <c r="I342" i="3"/>
  <c r="H342" i="3"/>
  <c r="F342" i="3"/>
  <c r="E342" i="3"/>
  <c r="G342" i="3" s="1"/>
  <c r="O342" i="3" s="1"/>
  <c r="D342" i="3"/>
  <c r="C342" i="3"/>
  <c r="B342" i="3"/>
  <c r="L342" i="3" s="1"/>
  <c r="A342" i="3"/>
  <c r="N341" i="3"/>
  <c r="M341" i="3"/>
  <c r="L341" i="3"/>
  <c r="K341" i="3"/>
  <c r="J341" i="3"/>
  <c r="I341" i="3"/>
  <c r="H341" i="3"/>
  <c r="F341" i="3"/>
  <c r="E341" i="3"/>
  <c r="G341" i="3" s="1"/>
  <c r="O341" i="3" s="1"/>
  <c r="D341" i="3"/>
  <c r="C341" i="3"/>
  <c r="B341" i="3"/>
  <c r="A341" i="3"/>
  <c r="M340" i="3"/>
  <c r="L340" i="3"/>
  <c r="K340" i="3"/>
  <c r="N340" i="3" s="1"/>
  <c r="J340" i="3"/>
  <c r="I340" i="3"/>
  <c r="H340" i="3"/>
  <c r="F340" i="3"/>
  <c r="E340" i="3"/>
  <c r="G340" i="3" s="1"/>
  <c r="O340" i="3" s="1"/>
  <c r="D340" i="3"/>
  <c r="C340" i="3"/>
  <c r="B340" i="3"/>
  <c r="A340" i="3"/>
  <c r="K339" i="3"/>
  <c r="N339" i="3" s="1"/>
  <c r="J339" i="3"/>
  <c r="I339" i="3"/>
  <c r="H339" i="3"/>
  <c r="F339" i="3"/>
  <c r="G339" i="3" s="1"/>
  <c r="O339" i="3" s="1"/>
  <c r="E339" i="3"/>
  <c r="D339" i="3"/>
  <c r="C339" i="3"/>
  <c r="B339" i="3"/>
  <c r="M339" i="3" s="1"/>
  <c r="A339" i="3"/>
  <c r="K338" i="3"/>
  <c r="N338" i="3" s="1"/>
  <c r="J338" i="3"/>
  <c r="I338" i="3"/>
  <c r="H338" i="3"/>
  <c r="F338" i="3"/>
  <c r="E338" i="3"/>
  <c r="G338" i="3" s="1"/>
  <c r="O338" i="3" s="1"/>
  <c r="D338" i="3"/>
  <c r="C338" i="3"/>
  <c r="B338" i="3"/>
  <c r="L338" i="3" s="1"/>
  <c r="A338" i="3"/>
  <c r="N337" i="3"/>
  <c r="K337" i="3"/>
  <c r="J337" i="3"/>
  <c r="I337" i="3"/>
  <c r="H337" i="3"/>
  <c r="F337" i="3"/>
  <c r="E337" i="3"/>
  <c r="G337" i="3" s="1"/>
  <c r="O337" i="3" s="1"/>
  <c r="D337" i="3"/>
  <c r="C337" i="3"/>
  <c r="B337" i="3"/>
  <c r="A337" i="3"/>
  <c r="O336" i="3"/>
  <c r="M336" i="3"/>
  <c r="L336" i="3"/>
  <c r="K336" i="3"/>
  <c r="N336" i="3" s="1"/>
  <c r="J336" i="3"/>
  <c r="I336" i="3"/>
  <c r="H336" i="3"/>
  <c r="G336" i="3"/>
  <c r="F336" i="3"/>
  <c r="E336" i="3"/>
  <c r="D336" i="3"/>
  <c r="C336" i="3"/>
  <c r="B336" i="3"/>
  <c r="A336" i="3"/>
  <c r="O335" i="3"/>
  <c r="K335" i="3"/>
  <c r="N335" i="3" s="1"/>
  <c r="J335" i="3"/>
  <c r="I335" i="3"/>
  <c r="H335" i="3"/>
  <c r="G335" i="3"/>
  <c r="F335" i="3"/>
  <c r="E335" i="3"/>
  <c r="D335" i="3"/>
  <c r="C335" i="3"/>
  <c r="B335" i="3"/>
  <c r="A335" i="3"/>
  <c r="N334" i="3"/>
  <c r="M334" i="3"/>
  <c r="K334" i="3"/>
  <c r="J334" i="3"/>
  <c r="I334" i="3"/>
  <c r="H334" i="3"/>
  <c r="F334" i="3"/>
  <c r="E334" i="3"/>
  <c r="G334" i="3" s="1"/>
  <c r="O334" i="3" s="1"/>
  <c r="D334" i="3"/>
  <c r="C334" i="3"/>
  <c r="B334" i="3"/>
  <c r="L334" i="3" s="1"/>
  <c r="A334" i="3"/>
  <c r="N333" i="3"/>
  <c r="M333" i="3"/>
  <c r="L333" i="3"/>
  <c r="K333" i="3"/>
  <c r="J333" i="3"/>
  <c r="I333" i="3"/>
  <c r="H333" i="3"/>
  <c r="F333" i="3"/>
  <c r="E333" i="3"/>
  <c r="D333" i="3"/>
  <c r="C333" i="3"/>
  <c r="B333" i="3"/>
  <c r="A333" i="3"/>
  <c r="O332" i="3"/>
  <c r="M332" i="3"/>
  <c r="L332" i="3"/>
  <c r="K332" i="3"/>
  <c r="N332" i="3" s="1"/>
  <c r="J332" i="3"/>
  <c r="I332" i="3"/>
  <c r="H332" i="3"/>
  <c r="G332" i="3"/>
  <c r="F332" i="3"/>
  <c r="E332" i="3"/>
  <c r="D332" i="3"/>
  <c r="C332" i="3"/>
  <c r="B332" i="3"/>
  <c r="A332" i="3"/>
  <c r="N331" i="3"/>
  <c r="L331" i="3"/>
  <c r="K331" i="3"/>
  <c r="J331" i="3"/>
  <c r="I331" i="3"/>
  <c r="H331" i="3"/>
  <c r="F331" i="3"/>
  <c r="G331" i="3" s="1"/>
  <c r="O331" i="3" s="1"/>
  <c r="E331" i="3"/>
  <c r="D331" i="3"/>
  <c r="C331" i="3"/>
  <c r="B331" i="3"/>
  <c r="M331" i="3" s="1"/>
  <c r="A331" i="3"/>
  <c r="K330" i="3"/>
  <c r="N330" i="3" s="1"/>
  <c r="J330" i="3"/>
  <c r="I330" i="3"/>
  <c r="H330" i="3"/>
  <c r="F330" i="3"/>
  <c r="E330" i="3"/>
  <c r="D330" i="3"/>
  <c r="C330" i="3"/>
  <c r="B330" i="3"/>
  <c r="L330" i="3" s="1"/>
  <c r="A330" i="3"/>
  <c r="N329" i="3"/>
  <c r="L329" i="3"/>
  <c r="K329" i="3"/>
  <c r="J329" i="3"/>
  <c r="I329" i="3"/>
  <c r="H329" i="3"/>
  <c r="F329" i="3"/>
  <c r="E329" i="3"/>
  <c r="G329" i="3" s="1"/>
  <c r="O329" i="3" s="1"/>
  <c r="D329" i="3"/>
  <c r="C329" i="3"/>
  <c r="B329" i="3"/>
  <c r="M329" i="3" s="1"/>
  <c r="A329" i="3"/>
  <c r="M328" i="3"/>
  <c r="L328" i="3"/>
  <c r="K328" i="3"/>
  <c r="N328" i="3" s="1"/>
  <c r="J328" i="3"/>
  <c r="I328" i="3"/>
  <c r="H328" i="3"/>
  <c r="F328" i="3"/>
  <c r="E328" i="3"/>
  <c r="G328" i="3" s="1"/>
  <c r="O328" i="3" s="1"/>
  <c r="D328" i="3"/>
  <c r="C328" i="3"/>
  <c r="B328" i="3"/>
  <c r="A328" i="3"/>
  <c r="K327" i="3"/>
  <c r="N327" i="3" s="1"/>
  <c r="J327" i="3"/>
  <c r="I327" i="3"/>
  <c r="H327" i="3"/>
  <c r="G327" i="3"/>
  <c r="O327" i="3" s="1"/>
  <c r="F327" i="3"/>
  <c r="E327" i="3"/>
  <c r="D327" i="3"/>
  <c r="C327" i="3"/>
  <c r="B327" i="3"/>
  <c r="M327" i="3" s="1"/>
  <c r="A327" i="3"/>
  <c r="N326" i="3"/>
  <c r="M326" i="3"/>
  <c r="K326" i="3"/>
  <c r="J326" i="3"/>
  <c r="I326" i="3"/>
  <c r="H326" i="3"/>
  <c r="G326" i="3"/>
  <c r="O326" i="3" s="1"/>
  <c r="F326" i="3"/>
  <c r="E326" i="3"/>
  <c r="D326" i="3"/>
  <c r="C326" i="3"/>
  <c r="B326" i="3"/>
  <c r="L326" i="3" s="1"/>
  <c r="A326" i="3"/>
  <c r="N325" i="3"/>
  <c r="M325" i="3"/>
  <c r="K325" i="3"/>
  <c r="J325" i="3"/>
  <c r="I325" i="3"/>
  <c r="H325" i="3"/>
  <c r="F325" i="3"/>
  <c r="E325" i="3"/>
  <c r="D325" i="3"/>
  <c r="C325" i="3"/>
  <c r="B325" i="3"/>
  <c r="L325" i="3" s="1"/>
  <c r="A325" i="3"/>
  <c r="M324" i="3"/>
  <c r="L324" i="3"/>
  <c r="K324" i="3"/>
  <c r="N324" i="3" s="1"/>
  <c r="J324" i="3"/>
  <c r="I324" i="3"/>
  <c r="H324" i="3"/>
  <c r="F324" i="3"/>
  <c r="E324" i="3"/>
  <c r="G324" i="3" s="1"/>
  <c r="O324" i="3" s="1"/>
  <c r="D324" i="3"/>
  <c r="C324" i="3"/>
  <c r="B324" i="3"/>
  <c r="A324" i="3"/>
  <c r="K323" i="3"/>
  <c r="N323" i="3" s="1"/>
  <c r="J323" i="3"/>
  <c r="I323" i="3"/>
  <c r="H323" i="3"/>
  <c r="F323" i="3"/>
  <c r="G323" i="3" s="1"/>
  <c r="O323" i="3" s="1"/>
  <c r="E323" i="3"/>
  <c r="D323" i="3"/>
  <c r="C323" i="3"/>
  <c r="B323" i="3"/>
  <c r="M323" i="3" s="1"/>
  <c r="A323" i="3"/>
  <c r="O322" i="3"/>
  <c r="M322" i="3"/>
  <c r="K322" i="3"/>
  <c r="N322" i="3" s="1"/>
  <c r="J322" i="3"/>
  <c r="I322" i="3"/>
  <c r="H322" i="3"/>
  <c r="F322" i="3"/>
  <c r="G322" i="3" s="1"/>
  <c r="E322" i="3"/>
  <c r="D322" i="3"/>
  <c r="C322" i="3"/>
  <c r="B322" i="3"/>
  <c r="L322" i="3" s="1"/>
  <c r="A322" i="3"/>
  <c r="N321" i="3"/>
  <c r="M321" i="3"/>
  <c r="L321" i="3"/>
  <c r="K321" i="3"/>
  <c r="J321" i="3"/>
  <c r="I321" i="3"/>
  <c r="H321" i="3"/>
  <c r="F321" i="3"/>
  <c r="E321" i="3"/>
  <c r="G321" i="3" s="1"/>
  <c r="O321" i="3" s="1"/>
  <c r="D321" i="3"/>
  <c r="C321" i="3"/>
  <c r="B321" i="3"/>
  <c r="A321" i="3"/>
  <c r="M320" i="3"/>
  <c r="L320" i="3"/>
  <c r="K320" i="3"/>
  <c r="N320" i="3" s="1"/>
  <c r="J320" i="3"/>
  <c r="I320" i="3"/>
  <c r="H320" i="3"/>
  <c r="G320" i="3"/>
  <c r="O320" i="3" s="1"/>
  <c r="F320" i="3"/>
  <c r="E320" i="3"/>
  <c r="D320" i="3"/>
  <c r="C320" i="3"/>
  <c r="B320" i="3"/>
  <c r="A320" i="3"/>
  <c r="N319" i="3"/>
  <c r="K319" i="3"/>
  <c r="J319" i="3"/>
  <c r="I319" i="3"/>
  <c r="H319" i="3"/>
  <c r="G319" i="3"/>
  <c r="O319" i="3" s="1"/>
  <c r="F319" i="3"/>
  <c r="E319" i="3"/>
  <c r="D319" i="3"/>
  <c r="C319" i="3"/>
  <c r="B319" i="3"/>
  <c r="M319" i="3" s="1"/>
  <c r="A319" i="3"/>
  <c r="N318" i="3"/>
  <c r="K318" i="3"/>
  <c r="J318" i="3"/>
  <c r="I318" i="3"/>
  <c r="H318" i="3"/>
  <c r="F318" i="3"/>
  <c r="E318" i="3"/>
  <c r="G318" i="3" s="1"/>
  <c r="O318" i="3" s="1"/>
  <c r="D318" i="3"/>
  <c r="C318" i="3"/>
  <c r="B318" i="3"/>
  <c r="L318" i="3" s="1"/>
  <c r="A318" i="3"/>
  <c r="N317" i="3"/>
  <c r="K317" i="3"/>
  <c r="J317" i="3"/>
  <c r="I317" i="3"/>
  <c r="H317" i="3"/>
  <c r="F317" i="3"/>
  <c r="E317" i="3"/>
  <c r="D317" i="3"/>
  <c r="C317" i="3"/>
  <c r="B317" i="3"/>
  <c r="A317" i="3"/>
  <c r="M316" i="3"/>
  <c r="L316" i="3"/>
  <c r="K316" i="3"/>
  <c r="N316" i="3" s="1"/>
  <c r="J316" i="3"/>
  <c r="I316" i="3"/>
  <c r="H316" i="3"/>
  <c r="F316" i="3"/>
  <c r="E316" i="3"/>
  <c r="G316" i="3" s="1"/>
  <c r="O316" i="3" s="1"/>
  <c r="D316" i="3"/>
  <c r="C316" i="3"/>
  <c r="B316" i="3"/>
  <c r="A316" i="3"/>
  <c r="L315" i="3"/>
  <c r="K315" i="3"/>
  <c r="N315" i="3" s="1"/>
  <c r="J315" i="3"/>
  <c r="I315" i="3"/>
  <c r="H315" i="3"/>
  <c r="F315" i="3"/>
  <c r="G315" i="3" s="1"/>
  <c r="O315" i="3" s="1"/>
  <c r="E315" i="3"/>
  <c r="D315" i="3"/>
  <c r="C315" i="3"/>
  <c r="B315" i="3"/>
  <c r="M315" i="3" s="1"/>
  <c r="A315" i="3"/>
  <c r="N314" i="3"/>
  <c r="M314" i="3"/>
  <c r="K314" i="3"/>
  <c r="J314" i="3"/>
  <c r="I314" i="3"/>
  <c r="H314" i="3"/>
  <c r="F314" i="3"/>
  <c r="E314" i="3"/>
  <c r="G314" i="3" s="1"/>
  <c r="O314" i="3" s="1"/>
  <c r="D314" i="3"/>
  <c r="C314" i="3"/>
  <c r="B314" i="3"/>
  <c r="L314" i="3" s="1"/>
  <c r="A314" i="3"/>
  <c r="N313" i="3"/>
  <c r="L313" i="3"/>
  <c r="K313" i="3"/>
  <c r="J313" i="3"/>
  <c r="I313" i="3"/>
  <c r="H313" i="3"/>
  <c r="F313" i="3"/>
  <c r="E313" i="3"/>
  <c r="D313" i="3"/>
  <c r="C313" i="3"/>
  <c r="B313" i="3"/>
  <c r="M313" i="3" s="1"/>
  <c r="A313" i="3"/>
  <c r="M312" i="3"/>
  <c r="L312" i="3"/>
  <c r="K312" i="3"/>
  <c r="N312" i="3" s="1"/>
  <c r="J312" i="3"/>
  <c r="I312" i="3"/>
  <c r="H312" i="3"/>
  <c r="G312" i="3"/>
  <c r="O312" i="3" s="1"/>
  <c r="F312" i="3"/>
  <c r="E312" i="3"/>
  <c r="D312" i="3"/>
  <c r="C312" i="3"/>
  <c r="B312" i="3"/>
  <c r="A312" i="3"/>
  <c r="N311" i="3"/>
  <c r="K311" i="3"/>
  <c r="J311" i="3"/>
  <c r="I311" i="3"/>
  <c r="H311" i="3"/>
  <c r="G311" i="3"/>
  <c r="O311" i="3" s="1"/>
  <c r="F311" i="3"/>
  <c r="E311" i="3"/>
  <c r="D311" i="3"/>
  <c r="C311" i="3"/>
  <c r="B311" i="3"/>
  <c r="M311" i="3" s="1"/>
  <c r="A311" i="3"/>
  <c r="M310" i="3"/>
  <c r="K310" i="3"/>
  <c r="N310" i="3" s="1"/>
  <c r="J310" i="3"/>
  <c r="I310" i="3"/>
  <c r="H310" i="3"/>
  <c r="F310" i="3"/>
  <c r="E310" i="3"/>
  <c r="G310" i="3" s="1"/>
  <c r="O310" i="3" s="1"/>
  <c r="D310" i="3"/>
  <c r="C310" i="3"/>
  <c r="B310" i="3"/>
  <c r="L310" i="3" s="1"/>
  <c r="A310" i="3"/>
  <c r="N309" i="3"/>
  <c r="K309" i="3"/>
  <c r="J309" i="3"/>
  <c r="I309" i="3"/>
  <c r="H309" i="3"/>
  <c r="F309" i="3"/>
  <c r="E309" i="3"/>
  <c r="D309" i="3"/>
  <c r="C309" i="3"/>
  <c r="B309" i="3"/>
  <c r="M309" i="3" s="1"/>
  <c r="A309" i="3"/>
  <c r="O308" i="3"/>
  <c r="M308" i="3"/>
  <c r="L308" i="3"/>
  <c r="K308" i="3"/>
  <c r="N308" i="3" s="1"/>
  <c r="J308" i="3"/>
  <c r="I308" i="3"/>
  <c r="H308" i="3"/>
  <c r="G308" i="3"/>
  <c r="F308" i="3"/>
  <c r="E308" i="3"/>
  <c r="D308" i="3"/>
  <c r="C308" i="3"/>
  <c r="B308" i="3"/>
  <c r="A308" i="3"/>
  <c r="N307" i="3"/>
  <c r="L307" i="3"/>
  <c r="K307" i="3"/>
  <c r="J307" i="3"/>
  <c r="I307" i="3"/>
  <c r="H307" i="3"/>
  <c r="F307" i="3"/>
  <c r="G307" i="3" s="1"/>
  <c r="O307" i="3" s="1"/>
  <c r="E307" i="3"/>
  <c r="D307" i="3"/>
  <c r="C307" i="3"/>
  <c r="B307" i="3"/>
  <c r="M307" i="3" s="1"/>
  <c r="A307" i="3"/>
  <c r="K306" i="3"/>
  <c r="N306" i="3" s="1"/>
  <c r="J306" i="3"/>
  <c r="I306" i="3"/>
  <c r="H306" i="3"/>
  <c r="G306" i="3"/>
  <c r="O306" i="3" s="1"/>
  <c r="F306" i="3"/>
  <c r="E306" i="3"/>
  <c r="D306" i="3"/>
  <c r="C306" i="3"/>
  <c r="B306" i="3"/>
  <c r="A306" i="3"/>
  <c r="N305" i="3"/>
  <c r="M305" i="3"/>
  <c r="L305" i="3"/>
  <c r="K305" i="3"/>
  <c r="J305" i="3"/>
  <c r="I305" i="3"/>
  <c r="H305" i="3"/>
  <c r="F305" i="3"/>
  <c r="E305" i="3"/>
  <c r="G305" i="3" s="1"/>
  <c r="O305" i="3" s="1"/>
  <c r="D305" i="3"/>
  <c r="C305" i="3"/>
  <c r="B305" i="3"/>
  <c r="A305" i="3"/>
  <c r="M304" i="3"/>
  <c r="L304" i="3"/>
  <c r="K304" i="3"/>
  <c r="N304" i="3" s="1"/>
  <c r="J304" i="3"/>
  <c r="I304" i="3"/>
  <c r="H304" i="3"/>
  <c r="F304" i="3"/>
  <c r="E304" i="3"/>
  <c r="G304" i="3" s="1"/>
  <c r="O304" i="3" s="1"/>
  <c r="D304" i="3"/>
  <c r="C304" i="3"/>
  <c r="B304" i="3"/>
  <c r="A304" i="3"/>
  <c r="L303" i="3"/>
  <c r="K303" i="3"/>
  <c r="N303" i="3" s="1"/>
  <c r="J303" i="3"/>
  <c r="I303" i="3"/>
  <c r="H303" i="3"/>
  <c r="G303" i="3"/>
  <c r="O303" i="3" s="1"/>
  <c r="F303" i="3"/>
  <c r="E303" i="3"/>
  <c r="D303" i="3"/>
  <c r="C303" i="3"/>
  <c r="B303" i="3"/>
  <c r="M303" i="3" s="1"/>
  <c r="A303" i="3"/>
  <c r="K302" i="3"/>
  <c r="N302" i="3" s="1"/>
  <c r="J302" i="3"/>
  <c r="I302" i="3"/>
  <c r="H302" i="3"/>
  <c r="G302" i="3"/>
  <c r="O302" i="3" s="1"/>
  <c r="F302" i="3"/>
  <c r="E302" i="3"/>
  <c r="D302" i="3"/>
  <c r="C302" i="3"/>
  <c r="B302" i="3"/>
  <c r="L302" i="3" s="1"/>
  <c r="A302" i="3"/>
  <c r="N301" i="3"/>
  <c r="M301" i="3"/>
  <c r="L301" i="3"/>
  <c r="K301" i="3"/>
  <c r="J301" i="3"/>
  <c r="I301" i="3"/>
  <c r="H301" i="3"/>
  <c r="F301" i="3"/>
  <c r="E301" i="3"/>
  <c r="D301" i="3"/>
  <c r="C301" i="3"/>
  <c r="B301" i="3"/>
  <c r="A301" i="3"/>
  <c r="M300" i="3"/>
  <c r="L300" i="3"/>
  <c r="K300" i="3"/>
  <c r="N300" i="3" s="1"/>
  <c r="J300" i="3"/>
  <c r="I300" i="3"/>
  <c r="H300" i="3"/>
  <c r="F300" i="3"/>
  <c r="E300" i="3"/>
  <c r="G300" i="3" s="1"/>
  <c r="O300" i="3" s="1"/>
  <c r="D300" i="3"/>
  <c r="C300" i="3"/>
  <c r="B300" i="3"/>
  <c r="A300" i="3"/>
  <c r="M299" i="3"/>
  <c r="L299" i="3"/>
  <c r="K299" i="3"/>
  <c r="N299" i="3" s="1"/>
  <c r="J299" i="3"/>
  <c r="I299" i="3"/>
  <c r="H299" i="3"/>
  <c r="F299" i="3"/>
  <c r="E299" i="3"/>
  <c r="G299" i="3" s="1"/>
  <c r="O299" i="3" s="1"/>
  <c r="D299" i="3"/>
  <c r="C299" i="3"/>
  <c r="B299" i="3"/>
  <c r="A299" i="3"/>
  <c r="K298" i="3"/>
  <c r="N298" i="3" s="1"/>
  <c r="J298" i="3"/>
  <c r="I298" i="3"/>
  <c r="H298" i="3"/>
  <c r="G298" i="3"/>
  <c r="O298" i="3" s="1"/>
  <c r="F298" i="3"/>
  <c r="E298" i="3"/>
  <c r="D298" i="3"/>
  <c r="C298" i="3"/>
  <c r="B298" i="3"/>
  <c r="A298" i="3"/>
  <c r="K297" i="3"/>
  <c r="N297" i="3" s="1"/>
  <c r="J297" i="3"/>
  <c r="I297" i="3"/>
  <c r="H297" i="3"/>
  <c r="G297" i="3"/>
  <c r="O297" i="3" s="1"/>
  <c r="F297" i="3"/>
  <c r="E297" i="3"/>
  <c r="D297" i="3"/>
  <c r="C297" i="3"/>
  <c r="B297" i="3"/>
  <c r="M297" i="3" s="1"/>
  <c r="A297" i="3"/>
  <c r="N296" i="3"/>
  <c r="K296" i="3"/>
  <c r="J296" i="3"/>
  <c r="I296" i="3"/>
  <c r="H296" i="3"/>
  <c r="F296" i="3"/>
  <c r="E296" i="3"/>
  <c r="G296" i="3" s="1"/>
  <c r="O296" i="3" s="1"/>
  <c r="D296" i="3"/>
  <c r="C296" i="3"/>
  <c r="B296" i="3"/>
  <c r="A296" i="3"/>
  <c r="O295" i="3"/>
  <c r="M295" i="3"/>
  <c r="L295" i="3"/>
  <c r="K295" i="3"/>
  <c r="N295" i="3" s="1"/>
  <c r="J295" i="3"/>
  <c r="I295" i="3"/>
  <c r="H295" i="3"/>
  <c r="G295" i="3"/>
  <c r="F295" i="3"/>
  <c r="E295" i="3"/>
  <c r="D295" i="3"/>
  <c r="C295" i="3"/>
  <c r="B295" i="3"/>
  <c r="A295" i="3"/>
  <c r="N294" i="3"/>
  <c r="L294" i="3"/>
  <c r="K294" i="3"/>
  <c r="J294" i="3"/>
  <c r="I294" i="3"/>
  <c r="H294" i="3"/>
  <c r="F294" i="3"/>
  <c r="G294" i="3" s="1"/>
  <c r="O294" i="3" s="1"/>
  <c r="E294" i="3"/>
  <c r="D294" i="3"/>
  <c r="C294" i="3"/>
  <c r="B294" i="3"/>
  <c r="M294" i="3" s="1"/>
  <c r="A294" i="3"/>
  <c r="N293" i="3"/>
  <c r="M293" i="3"/>
  <c r="K293" i="3"/>
  <c r="J293" i="3"/>
  <c r="I293" i="3"/>
  <c r="H293" i="3"/>
  <c r="F293" i="3"/>
  <c r="E293" i="3"/>
  <c r="G293" i="3" s="1"/>
  <c r="O293" i="3" s="1"/>
  <c r="D293" i="3"/>
  <c r="C293" i="3"/>
  <c r="B293" i="3"/>
  <c r="L293" i="3" s="1"/>
  <c r="A293" i="3"/>
  <c r="N292" i="3"/>
  <c r="M292" i="3"/>
  <c r="L292" i="3"/>
  <c r="K292" i="3"/>
  <c r="J292" i="3"/>
  <c r="I292" i="3"/>
  <c r="H292" i="3"/>
  <c r="F292" i="3"/>
  <c r="E292" i="3"/>
  <c r="G292" i="3" s="1"/>
  <c r="O292" i="3" s="1"/>
  <c r="D292" i="3"/>
  <c r="C292" i="3"/>
  <c r="B292" i="3"/>
  <c r="A292" i="3"/>
  <c r="M291" i="3"/>
  <c r="L291" i="3"/>
  <c r="K291" i="3"/>
  <c r="N291" i="3" s="1"/>
  <c r="J291" i="3"/>
  <c r="I291" i="3"/>
  <c r="H291" i="3"/>
  <c r="F291" i="3"/>
  <c r="E291" i="3"/>
  <c r="G291" i="3" s="1"/>
  <c r="O291" i="3" s="1"/>
  <c r="D291" i="3"/>
  <c r="C291" i="3"/>
  <c r="B291" i="3"/>
  <c r="A291" i="3"/>
  <c r="K290" i="3"/>
  <c r="N290" i="3" s="1"/>
  <c r="J290" i="3"/>
  <c r="I290" i="3"/>
  <c r="H290" i="3"/>
  <c r="G290" i="3"/>
  <c r="O290" i="3" s="1"/>
  <c r="F290" i="3"/>
  <c r="E290" i="3"/>
  <c r="D290" i="3"/>
  <c r="C290" i="3"/>
  <c r="B290" i="3"/>
  <c r="M290" i="3" s="1"/>
  <c r="A290" i="3"/>
  <c r="K289" i="3"/>
  <c r="N289" i="3" s="1"/>
  <c r="J289" i="3"/>
  <c r="I289" i="3"/>
  <c r="H289" i="3"/>
  <c r="G289" i="3"/>
  <c r="O289" i="3" s="1"/>
  <c r="F289" i="3"/>
  <c r="E289" i="3"/>
  <c r="D289" i="3"/>
  <c r="C289" i="3"/>
  <c r="B289" i="3"/>
  <c r="A289" i="3"/>
  <c r="N288" i="3"/>
  <c r="K288" i="3"/>
  <c r="J288" i="3"/>
  <c r="I288" i="3"/>
  <c r="H288" i="3"/>
  <c r="F288" i="3"/>
  <c r="E288" i="3"/>
  <c r="G288" i="3" s="1"/>
  <c r="O288" i="3" s="1"/>
  <c r="D288" i="3"/>
  <c r="C288" i="3"/>
  <c r="B288" i="3"/>
  <c r="A288" i="3"/>
  <c r="O287" i="3"/>
  <c r="M287" i="3"/>
  <c r="L287" i="3"/>
  <c r="K287" i="3"/>
  <c r="N287" i="3" s="1"/>
  <c r="J287" i="3"/>
  <c r="I287" i="3"/>
  <c r="H287" i="3"/>
  <c r="G287" i="3"/>
  <c r="F287" i="3"/>
  <c r="E287" i="3"/>
  <c r="D287" i="3"/>
  <c r="C287" i="3"/>
  <c r="B287" i="3"/>
  <c r="A287" i="3"/>
  <c r="N286" i="3"/>
  <c r="L286" i="3"/>
  <c r="K286" i="3"/>
  <c r="J286" i="3"/>
  <c r="I286" i="3"/>
  <c r="H286" i="3"/>
  <c r="G286" i="3"/>
  <c r="O286" i="3" s="1"/>
  <c r="F286" i="3"/>
  <c r="E286" i="3"/>
  <c r="D286" i="3"/>
  <c r="C286" i="3"/>
  <c r="B286" i="3"/>
  <c r="M286" i="3" s="1"/>
  <c r="A286" i="3"/>
  <c r="N285" i="3"/>
  <c r="M285" i="3"/>
  <c r="K285" i="3"/>
  <c r="J285" i="3"/>
  <c r="I285" i="3"/>
  <c r="H285" i="3"/>
  <c r="F285" i="3"/>
  <c r="E285" i="3"/>
  <c r="G285" i="3" s="1"/>
  <c r="O285" i="3" s="1"/>
  <c r="D285" i="3"/>
  <c r="C285" i="3"/>
  <c r="B285" i="3"/>
  <c r="L285" i="3" s="1"/>
  <c r="A285" i="3"/>
  <c r="N284" i="3"/>
  <c r="M284" i="3"/>
  <c r="L284" i="3"/>
  <c r="K284" i="3"/>
  <c r="J284" i="3"/>
  <c r="I284" i="3"/>
  <c r="H284" i="3"/>
  <c r="F284" i="3"/>
  <c r="E284" i="3"/>
  <c r="G284" i="3" s="1"/>
  <c r="O284" i="3" s="1"/>
  <c r="D284" i="3"/>
  <c r="C284" i="3"/>
  <c r="B284" i="3"/>
  <c r="A284" i="3"/>
  <c r="M283" i="3"/>
  <c r="L283" i="3"/>
  <c r="K283" i="3"/>
  <c r="N283" i="3" s="1"/>
  <c r="J283" i="3"/>
  <c r="I283" i="3"/>
  <c r="H283" i="3"/>
  <c r="F283" i="3"/>
  <c r="E283" i="3"/>
  <c r="G283" i="3" s="1"/>
  <c r="O283" i="3" s="1"/>
  <c r="D283" i="3"/>
  <c r="C283" i="3"/>
  <c r="B283" i="3"/>
  <c r="A283" i="3"/>
  <c r="K282" i="3"/>
  <c r="N282" i="3" s="1"/>
  <c r="J282" i="3"/>
  <c r="I282" i="3"/>
  <c r="H282" i="3"/>
  <c r="G282" i="3"/>
  <c r="O282" i="3" s="1"/>
  <c r="F282" i="3"/>
  <c r="E282" i="3"/>
  <c r="D282" i="3"/>
  <c r="C282" i="3"/>
  <c r="B282" i="3"/>
  <c r="A282" i="3"/>
  <c r="K281" i="3"/>
  <c r="N281" i="3" s="1"/>
  <c r="J281" i="3"/>
  <c r="I281" i="3"/>
  <c r="H281" i="3"/>
  <c r="G281" i="3"/>
  <c r="O281" i="3" s="1"/>
  <c r="F281" i="3"/>
  <c r="E281" i="3"/>
  <c r="D281" i="3"/>
  <c r="C281" i="3"/>
  <c r="B281" i="3"/>
  <c r="A281" i="3"/>
  <c r="N280" i="3"/>
  <c r="K280" i="3"/>
  <c r="J280" i="3"/>
  <c r="I280" i="3"/>
  <c r="H280" i="3"/>
  <c r="F280" i="3"/>
  <c r="E280" i="3"/>
  <c r="G280" i="3" s="1"/>
  <c r="O280" i="3" s="1"/>
  <c r="D280" i="3"/>
  <c r="C280" i="3"/>
  <c r="B280" i="3"/>
  <c r="A280" i="3"/>
  <c r="O279" i="3"/>
  <c r="M279" i="3"/>
  <c r="L279" i="3"/>
  <c r="K279" i="3"/>
  <c r="N279" i="3" s="1"/>
  <c r="J279" i="3"/>
  <c r="I279" i="3"/>
  <c r="H279" i="3"/>
  <c r="G279" i="3"/>
  <c r="F279" i="3"/>
  <c r="E279" i="3"/>
  <c r="D279" i="3"/>
  <c r="C279" i="3"/>
  <c r="B279" i="3"/>
  <c r="A279" i="3"/>
  <c r="N278" i="3"/>
  <c r="L278" i="3"/>
  <c r="K278" i="3"/>
  <c r="J278" i="3"/>
  <c r="I278" i="3"/>
  <c r="H278" i="3"/>
  <c r="F278" i="3"/>
  <c r="G278" i="3" s="1"/>
  <c r="O278" i="3" s="1"/>
  <c r="E278" i="3"/>
  <c r="D278" i="3"/>
  <c r="C278" i="3"/>
  <c r="B278" i="3"/>
  <c r="M278" i="3" s="1"/>
  <c r="A278" i="3"/>
  <c r="N277" i="3"/>
  <c r="M277" i="3"/>
  <c r="K277" i="3"/>
  <c r="J277" i="3"/>
  <c r="I277" i="3"/>
  <c r="H277" i="3"/>
  <c r="G277" i="3"/>
  <c r="O277" i="3" s="1"/>
  <c r="F277" i="3"/>
  <c r="E277" i="3"/>
  <c r="D277" i="3"/>
  <c r="C277" i="3"/>
  <c r="B277" i="3"/>
  <c r="L277" i="3" s="1"/>
  <c r="A277" i="3"/>
  <c r="N276" i="3"/>
  <c r="M276" i="3"/>
  <c r="L276" i="3"/>
  <c r="K276" i="3"/>
  <c r="J276" i="3"/>
  <c r="I276" i="3"/>
  <c r="H276" i="3"/>
  <c r="F276" i="3"/>
  <c r="E276" i="3"/>
  <c r="G276" i="3" s="1"/>
  <c r="O276" i="3" s="1"/>
  <c r="D276" i="3"/>
  <c r="C276" i="3"/>
  <c r="B276" i="3"/>
  <c r="A276" i="3"/>
  <c r="M275" i="3"/>
  <c r="L275" i="3"/>
  <c r="K275" i="3"/>
  <c r="N275" i="3" s="1"/>
  <c r="J275" i="3"/>
  <c r="I275" i="3"/>
  <c r="H275" i="3"/>
  <c r="F275" i="3"/>
  <c r="E275" i="3"/>
  <c r="G275" i="3" s="1"/>
  <c r="O275" i="3" s="1"/>
  <c r="D275" i="3"/>
  <c r="C275" i="3"/>
  <c r="B275" i="3"/>
  <c r="A275" i="3"/>
  <c r="L274" i="3"/>
  <c r="K274" i="3"/>
  <c r="N274" i="3" s="1"/>
  <c r="J274" i="3"/>
  <c r="I274" i="3"/>
  <c r="H274" i="3"/>
  <c r="G274" i="3"/>
  <c r="O274" i="3" s="1"/>
  <c r="F274" i="3"/>
  <c r="E274" i="3"/>
  <c r="D274" i="3"/>
  <c r="C274" i="3"/>
  <c r="B274" i="3"/>
  <c r="M274" i="3" s="1"/>
  <c r="A274" i="3"/>
  <c r="K273" i="3"/>
  <c r="N273" i="3" s="1"/>
  <c r="J273" i="3"/>
  <c r="I273" i="3"/>
  <c r="H273" i="3"/>
  <c r="G273" i="3"/>
  <c r="O273" i="3" s="1"/>
  <c r="F273" i="3"/>
  <c r="E273" i="3"/>
  <c r="D273" i="3"/>
  <c r="C273" i="3"/>
  <c r="B273" i="3"/>
  <c r="A273" i="3"/>
  <c r="N272" i="3"/>
  <c r="K272" i="3"/>
  <c r="J272" i="3"/>
  <c r="I272" i="3"/>
  <c r="H272" i="3"/>
  <c r="F272" i="3"/>
  <c r="E272" i="3"/>
  <c r="G272" i="3" s="1"/>
  <c r="O272" i="3" s="1"/>
  <c r="D272" i="3"/>
  <c r="C272" i="3"/>
  <c r="B272" i="3"/>
  <c r="A272" i="3"/>
  <c r="M271" i="3"/>
  <c r="L271" i="3"/>
  <c r="K271" i="3"/>
  <c r="N271" i="3" s="1"/>
  <c r="J271" i="3"/>
  <c r="I271" i="3"/>
  <c r="H271" i="3"/>
  <c r="F271" i="3"/>
  <c r="E271" i="3"/>
  <c r="G271" i="3" s="1"/>
  <c r="O271" i="3" s="1"/>
  <c r="D271" i="3"/>
  <c r="C271" i="3"/>
  <c r="B271" i="3"/>
  <c r="A271" i="3"/>
  <c r="N270" i="3"/>
  <c r="L270" i="3"/>
  <c r="K270" i="3"/>
  <c r="J270" i="3"/>
  <c r="I270" i="3"/>
  <c r="H270" i="3"/>
  <c r="F270" i="3"/>
  <c r="G270" i="3" s="1"/>
  <c r="O270" i="3" s="1"/>
  <c r="E270" i="3"/>
  <c r="D270" i="3"/>
  <c r="C270" i="3"/>
  <c r="B270" i="3"/>
  <c r="M270" i="3" s="1"/>
  <c r="A270" i="3"/>
  <c r="N269" i="3"/>
  <c r="M269" i="3"/>
  <c r="K269" i="3"/>
  <c r="J269" i="3"/>
  <c r="I269" i="3"/>
  <c r="H269" i="3"/>
  <c r="G269" i="3"/>
  <c r="O269" i="3" s="1"/>
  <c r="F269" i="3"/>
  <c r="E269" i="3"/>
  <c r="D269" i="3"/>
  <c r="C269" i="3"/>
  <c r="B269" i="3"/>
  <c r="L269" i="3" s="1"/>
  <c r="A269" i="3"/>
  <c r="N268" i="3"/>
  <c r="M268" i="3"/>
  <c r="K268" i="3"/>
  <c r="J268" i="3"/>
  <c r="I268" i="3"/>
  <c r="H268" i="3"/>
  <c r="F268" i="3"/>
  <c r="E268" i="3"/>
  <c r="G268" i="3" s="1"/>
  <c r="O268" i="3" s="1"/>
  <c r="D268" i="3"/>
  <c r="C268" i="3"/>
  <c r="B268" i="3"/>
  <c r="L268" i="3" s="1"/>
  <c r="A268" i="3"/>
  <c r="M267" i="3"/>
  <c r="L267" i="3"/>
  <c r="K267" i="3"/>
  <c r="N267" i="3" s="1"/>
  <c r="J267" i="3"/>
  <c r="I267" i="3"/>
  <c r="H267" i="3"/>
  <c r="F267" i="3"/>
  <c r="E267" i="3"/>
  <c r="G267" i="3" s="1"/>
  <c r="O267" i="3" s="1"/>
  <c r="D267" i="3"/>
  <c r="C267" i="3"/>
  <c r="B267" i="3"/>
  <c r="A267" i="3"/>
  <c r="L266" i="3"/>
  <c r="K266" i="3"/>
  <c r="N266" i="3" s="1"/>
  <c r="J266" i="3"/>
  <c r="I266" i="3"/>
  <c r="H266" i="3"/>
  <c r="G266" i="3"/>
  <c r="O266" i="3" s="1"/>
  <c r="F266" i="3"/>
  <c r="E266" i="3"/>
  <c r="D266" i="3"/>
  <c r="C266" i="3"/>
  <c r="B266" i="3"/>
  <c r="M266" i="3" s="1"/>
  <c r="A266" i="3"/>
  <c r="O265" i="3"/>
  <c r="K265" i="3"/>
  <c r="N265" i="3" s="1"/>
  <c r="J265" i="3"/>
  <c r="I265" i="3"/>
  <c r="H265" i="3"/>
  <c r="G265" i="3"/>
  <c r="F265" i="3"/>
  <c r="E265" i="3"/>
  <c r="D265" i="3"/>
  <c r="C265" i="3"/>
  <c r="B265" i="3"/>
  <c r="A265" i="3"/>
  <c r="N264" i="3"/>
  <c r="K264" i="3"/>
  <c r="J264" i="3"/>
  <c r="I264" i="3"/>
  <c r="H264" i="3"/>
  <c r="F264" i="3"/>
  <c r="E264" i="3"/>
  <c r="D264" i="3"/>
  <c r="C264" i="3"/>
  <c r="B264" i="3"/>
  <c r="A264" i="3"/>
  <c r="O263" i="3"/>
  <c r="M263" i="3"/>
  <c r="L263" i="3"/>
  <c r="K263" i="3"/>
  <c r="N263" i="3" s="1"/>
  <c r="J263" i="3"/>
  <c r="I263" i="3"/>
  <c r="H263" i="3"/>
  <c r="G263" i="3"/>
  <c r="F263" i="3"/>
  <c r="E263" i="3"/>
  <c r="D263" i="3"/>
  <c r="C263" i="3"/>
  <c r="B263" i="3"/>
  <c r="A263" i="3"/>
  <c r="N262" i="3"/>
  <c r="L262" i="3"/>
  <c r="K262" i="3"/>
  <c r="J262" i="3"/>
  <c r="I262" i="3"/>
  <c r="H262" i="3"/>
  <c r="G262" i="3"/>
  <c r="O262" i="3" s="1"/>
  <c r="F262" i="3"/>
  <c r="E262" i="3"/>
  <c r="D262" i="3"/>
  <c r="C262" i="3"/>
  <c r="B262" i="3"/>
  <c r="M262" i="3" s="1"/>
  <c r="A262" i="3"/>
  <c r="N261" i="3"/>
  <c r="M261" i="3"/>
  <c r="K261" i="3"/>
  <c r="J261" i="3"/>
  <c r="I261" i="3"/>
  <c r="H261" i="3"/>
  <c r="F261" i="3"/>
  <c r="E261" i="3"/>
  <c r="G261" i="3" s="1"/>
  <c r="O261" i="3" s="1"/>
  <c r="D261" i="3"/>
  <c r="C261" i="3"/>
  <c r="B261" i="3"/>
  <c r="L261" i="3" s="1"/>
  <c r="A261" i="3"/>
  <c r="N260" i="3"/>
  <c r="K260" i="3"/>
  <c r="J260" i="3"/>
  <c r="I260" i="3"/>
  <c r="H260" i="3"/>
  <c r="F260" i="3"/>
  <c r="E260" i="3"/>
  <c r="G260" i="3" s="1"/>
  <c r="O260" i="3" s="1"/>
  <c r="D260" i="3"/>
  <c r="C260" i="3"/>
  <c r="B260" i="3"/>
  <c r="A260" i="3"/>
  <c r="M259" i="3"/>
  <c r="L259" i="3"/>
  <c r="K259" i="3"/>
  <c r="N259" i="3" s="1"/>
  <c r="J259" i="3"/>
  <c r="I259" i="3"/>
  <c r="H259" i="3"/>
  <c r="F259" i="3"/>
  <c r="E259" i="3"/>
  <c r="G259" i="3" s="1"/>
  <c r="O259" i="3" s="1"/>
  <c r="D259" i="3"/>
  <c r="C259" i="3"/>
  <c r="B259" i="3"/>
  <c r="A259" i="3"/>
  <c r="K258" i="3"/>
  <c r="N258" i="3" s="1"/>
  <c r="J258" i="3"/>
  <c r="I258" i="3"/>
  <c r="H258" i="3"/>
  <c r="G258" i="3"/>
  <c r="O258" i="3" s="1"/>
  <c r="F258" i="3"/>
  <c r="E258" i="3"/>
  <c r="D258" i="3"/>
  <c r="C258" i="3"/>
  <c r="B258" i="3"/>
  <c r="A258" i="3"/>
  <c r="K257" i="3"/>
  <c r="N257" i="3" s="1"/>
  <c r="J257" i="3"/>
  <c r="I257" i="3"/>
  <c r="H257" i="3"/>
  <c r="G257" i="3"/>
  <c r="O257" i="3" s="1"/>
  <c r="F257" i="3"/>
  <c r="E257" i="3"/>
  <c r="D257" i="3"/>
  <c r="C257" i="3"/>
  <c r="B257" i="3"/>
  <c r="A257" i="3"/>
  <c r="N256" i="3"/>
  <c r="K256" i="3"/>
  <c r="J256" i="3"/>
  <c r="I256" i="3"/>
  <c r="H256" i="3"/>
  <c r="F256" i="3"/>
  <c r="E256" i="3"/>
  <c r="D256" i="3"/>
  <c r="C256" i="3"/>
  <c r="B256" i="3"/>
  <c r="A256" i="3"/>
  <c r="M255" i="3"/>
  <c r="L255" i="3"/>
  <c r="K255" i="3"/>
  <c r="N255" i="3" s="1"/>
  <c r="J255" i="3"/>
  <c r="I255" i="3"/>
  <c r="H255" i="3"/>
  <c r="G255" i="3"/>
  <c r="O255" i="3" s="1"/>
  <c r="F255" i="3"/>
  <c r="E255" i="3"/>
  <c r="D255" i="3"/>
  <c r="C255" i="3"/>
  <c r="B255" i="3"/>
  <c r="A255" i="3"/>
  <c r="N254" i="3"/>
  <c r="L254" i="3"/>
  <c r="K254" i="3"/>
  <c r="J254" i="3"/>
  <c r="I254" i="3"/>
  <c r="H254" i="3"/>
  <c r="F254" i="3"/>
  <c r="G254" i="3" s="1"/>
  <c r="O254" i="3" s="1"/>
  <c r="E254" i="3"/>
  <c r="D254" i="3"/>
  <c r="C254" i="3"/>
  <c r="B254" i="3"/>
  <c r="M254" i="3" s="1"/>
  <c r="A254" i="3"/>
  <c r="M253" i="3"/>
  <c r="K253" i="3"/>
  <c r="N253" i="3" s="1"/>
  <c r="J253" i="3"/>
  <c r="I253" i="3"/>
  <c r="H253" i="3"/>
  <c r="F253" i="3"/>
  <c r="E253" i="3"/>
  <c r="G253" i="3" s="1"/>
  <c r="O253" i="3" s="1"/>
  <c r="D253" i="3"/>
  <c r="C253" i="3"/>
  <c r="B253" i="3"/>
  <c r="L253" i="3" s="1"/>
  <c r="A253" i="3"/>
  <c r="N252" i="3"/>
  <c r="L252" i="3"/>
  <c r="K252" i="3"/>
  <c r="J252" i="3"/>
  <c r="I252" i="3"/>
  <c r="H252" i="3"/>
  <c r="F252" i="3"/>
  <c r="E252" i="3"/>
  <c r="G252" i="3" s="1"/>
  <c r="O252" i="3" s="1"/>
  <c r="D252" i="3"/>
  <c r="C252" i="3"/>
  <c r="B252" i="3"/>
  <c r="M252" i="3" s="1"/>
  <c r="A252" i="3"/>
  <c r="M251" i="3"/>
  <c r="L251" i="3"/>
  <c r="K251" i="3"/>
  <c r="N251" i="3" s="1"/>
  <c r="J251" i="3"/>
  <c r="I251" i="3"/>
  <c r="H251" i="3"/>
  <c r="F251" i="3"/>
  <c r="E251" i="3"/>
  <c r="G251" i="3" s="1"/>
  <c r="O251" i="3" s="1"/>
  <c r="D251" i="3"/>
  <c r="C251" i="3"/>
  <c r="B251" i="3"/>
  <c r="A251" i="3"/>
  <c r="K250" i="3"/>
  <c r="N250" i="3" s="1"/>
  <c r="J250" i="3"/>
  <c r="I250" i="3"/>
  <c r="H250" i="3"/>
  <c r="G250" i="3"/>
  <c r="O250" i="3" s="1"/>
  <c r="F250" i="3"/>
  <c r="E250" i="3"/>
  <c r="D250" i="3"/>
  <c r="C250" i="3"/>
  <c r="B250" i="3"/>
  <c r="M250" i="3" s="1"/>
  <c r="A250" i="3"/>
  <c r="O249" i="3"/>
  <c r="K249" i="3"/>
  <c r="N249" i="3" s="1"/>
  <c r="J249" i="3"/>
  <c r="I249" i="3"/>
  <c r="H249" i="3"/>
  <c r="G249" i="3"/>
  <c r="F249" i="3"/>
  <c r="E249" i="3"/>
  <c r="D249" i="3"/>
  <c r="C249" i="3"/>
  <c r="B249" i="3"/>
  <c r="A249" i="3"/>
  <c r="N248" i="3"/>
  <c r="K248" i="3"/>
  <c r="J248" i="3"/>
  <c r="I248" i="3"/>
  <c r="H248" i="3"/>
  <c r="F248" i="3"/>
  <c r="E248" i="3"/>
  <c r="G248" i="3" s="1"/>
  <c r="O248" i="3" s="1"/>
  <c r="D248" i="3"/>
  <c r="C248" i="3"/>
  <c r="B248" i="3"/>
  <c r="A248" i="3"/>
  <c r="M247" i="3"/>
  <c r="L247" i="3"/>
  <c r="K247" i="3"/>
  <c r="N247" i="3" s="1"/>
  <c r="J247" i="3"/>
  <c r="I247" i="3"/>
  <c r="H247" i="3"/>
  <c r="F247" i="3"/>
  <c r="E247" i="3"/>
  <c r="G247" i="3" s="1"/>
  <c r="O247" i="3" s="1"/>
  <c r="D247" i="3"/>
  <c r="C247" i="3"/>
  <c r="B247" i="3"/>
  <c r="A247" i="3"/>
  <c r="L246" i="3"/>
  <c r="K246" i="3"/>
  <c r="N246" i="3" s="1"/>
  <c r="J246" i="3"/>
  <c r="I246" i="3"/>
  <c r="H246" i="3"/>
  <c r="F246" i="3"/>
  <c r="G246" i="3" s="1"/>
  <c r="O246" i="3" s="1"/>
  <c r="E246" i="3"/>
  <c r="D246" i="3"/>
  <c r="C246" i="3"/>
  <c r="B246" i="3"/>
  <c r="M246" i="3" s="1"/>
  <c r="A246" i="3"/>
  <c r="M245" i="3"/>
  <c r="K245" i="3"/>
  <c r="N245" i="3" s="1"/>
  <c r="J245" i="3"/>
  <c r="I245" i="3"/>
  <c r="H245" i="3"/>
  <c r="F245" i="3"/>
  <c r="G245" i="3" s="1"/>
  <c r="O245" i="3" s="1"/>
  <c r="E245" i="3"/>
  <c r="D245" i="3"/>
  <c r="C245" i="3"/>
  <c r="B245" i="3"/>
  <c r="L245" i="3" s="1"/>
  <c r="A245" i="3"/>
  <c r="N244" i="3"/>
  <c r="M244" i="3"/>
  <c r="L244" i="3"/>
  <c r="K244" i="3"/>
  <c r="J244" i="3"/>
  <c r="I244" i="3"/>
  <c r="H244" i="3"/>
  <c r="F244" i="3"/>
  <c r="E244" i="3"/>
  <c r="D244" i="3"/>
  <c r="C244" i="3"/>
  <c r="B244" i="3"/>
  <c r="A244" i="3"/>
  <c r="M243" i="3"/>
  <c r="L243" i="3"/>
  <c r="K243" i="3"/>
  <c r="N243" i="3" s="1"/>
  <c r="J243" i="3"/>
  <c r="I243" i="3"/>
  <c r="H243" i="3"/>
  <c r="F243" i="3"/>
  <c r="E243" i="3"/>
  <c r="G243" i="3" s="1"/>
  <c r="O243" i="3" s="1"/>
  <c r="D243" i="3"/>
  <c r="C243" i="3"/>
  <c r="B243" i="3"/>
  <c r="A243" i="3"/>
  <c r="L242" i="3"/>
  <c r="K242" i="3"/>
  <c r="N242" i="3" s="1"/>
  <c r="J242" i="3"/>
  <c r="I242" i="3"/>
  <c r="H242" i="3"/>
  <c r="G242" i="3"/>
  <c r="O242" i="3" s="1"/>
  <c r="F242" i="3"/>
  <c r="E242" i="3"/>
  <c r="D242" i="3"/>
  <c r="C242" i="3"/>
  <c r="B242" i="3"/>
  <c r="M242" i="3" s="1"/>
  <c r="A242" i="3"/>
  <c r="O241" i="3"/>
  <c r="N241" i="3"/>
  <c r="K241" i="3"/>
  <c r="J241" i="3"/>
  <c r="I241" i="3"/>
  <c r="H241" i="3"/>
  <c r="G241" i="3"/>
  <c r="F241" i="3"/>
  <c r="E241" i="3"/>
  <c r="D241" i="3"/>
  <c r="C241" i="3"/>
  <c r="B241" i="3"/>
  <c r="A241" i="3"/>
  <c r="N240" i="3"/>
  <c r="M240" i="3"/>
  <c r="K240" i="3"/>
  <c r="J240" i="3"/>
  <c r="I240" i="3"/>
  <c r="H240" i="3"/>
  <c r="F240" i="3"/>
  <c r="E240" i="3"/>
  <c r="G240" i="3" s="1"/>
  <c r="O240" i="3" s="1"/>
  <c r="D240" i="3"/>
  <c r="C240" i="3"/>
  <c r="B240" i="3"/>
  <c r="L240" i="3" s="1"/>
  <c r="A240" i="3"/>
  <c r="O239" i="3"/>
  <c r="M239" i="3"/>
  <c r="L239" i="3"/>
  <c r="K239" i="3"/>
  <c r="N239" i="3" s="1"/>
  <c r="J239" i="3"/>
  <c r="I239" i="3"/>
  <c r="H239" i="3"/>
  <c r="G239" i="3"/>
  <c r="F239" i="3"/>
  <c r="E239" i="3"/>
  <c r="D239" i="3"/>
  <c r="C239" i="3"/>
  <c r="B239" i="3"/>
  <c r="A239" i="3"/>
  <c r="N238" i="3"/>
  <c r="L238" i="3"/>
  <c r="K238" i="3"/>
  <c r="J238" i="3"/>
  <c r="I238" i="3"/>
  <c r="H238" i="3"/>
  <c r="G238" i="3"/>
  <c r="O238" i="3" s="1"/>
  <c r="F238" i="3"/>
  <c r="E238" i="3"/>
  <c r="D238" i="3"/>
  <c r="C238" i="3"/>
  <c r="B238" i="3"/>
  <c r="M238" i="3" s="1"/>
  <c r="A238" i="3"/>
  <c r="K237" i="3"/>
  <c r="N237" i="3" s="1"/>
  <c r="J237" i="3"/>
  <c r="I237" i="3"/>
  <c r="H237" i="3"/>
  <c r="G237" i="3"/>
  <c r="O237" i="3" s="1"/>
  <c r="F237" i="3"/>
  <c r="E237" i="3"/>
  <c r="D237" i="3"/>
  <c r="C237" i="3"/>
  <c r="B237" i="3"/>
  <c r="A237" i="3"/>
  <c r="N236" i="3"/>
  <c r="M236" i="3"/>
  <c r="K236" i="3"/>
  <c r="J236" i="3"/>
  <c r="I236" i="3"/>
  <c r="H236" i="3"/>
  <c r="F236" i="3"/>
  <c r="E236" i="3"/>
  <c r="G236" i="3" s="1"/>
  <c r="O236" i="3" s="1"/>
  <c r="D236" i="3"/>
  <c r="C236" i="3"/>
  <c r="B236" i="3"/>
  <c r="L236" i="3" s="1"/>
  <c r="A236" i="3"/>
  <c r="M235" i="3"/>
  <c r="L235" i="3"/>
  <c r="K235" i="3"/>
  <c r="N235" i="3" s="1"/>
  <c r="J235" i="3"/>
  <c r="I235" i="3"/>
  <c r="H235" i="3"/>
  <c r="F235" i="3"/>
  <c r="E235" i="3"/>
  <c r="G235" i="3" s="1"/>
  <c r="O235" i="3" s="1"/>
  <c r="D235" i="3"/>
  <c r="C235" i="3"/>
  <c r="B235" i="3"/>
  <c r="A235" i="3"/>
  <c r="O234" i="3"/>
  <c r="K234" i="3"/>
  <c r="N234" i="3" s="1"/>
  <c r="J234" i="3"/>
  <c r="I234" i="3"/>
  <c r="H234" i="3"/>
  <c r="G234" i="3"/>
  <c r="F234" i="3"/>
  <c r="E234" i="3"/>
  <c r="D234" i="3"/>
  <c r="C234" i="3"/>
  <c r="B234" i="3"/>
  <c r="M234" i="3" s="1"/>
  <c r="A234" i="3"/>
  <c r="O233" i="3"/>
  <c r="K233" i="3"/>
  <c r="N233" i="3" s="1"/>
  <c r="J233" i="3"/>
  <c r="I233" i="3"/>
  <c r="H233" i="3"/>
  <c r="F233" i="3"/>
  <c r="G233" i="3" s="1"/>
  <c r="E233" i="3"/>
  <c r="D233" i="3"/>
  <c r="C233" i="3"/>
  <c r="B233" i="3"/>
  <c r="A233" i="3"/>
  <c r="N232" i="3"/>
  <c r="K232" i="3"/>
  <c r="J232" i="3"/>
  <c r="I232" i="3"/>
  <c r="H232" i="3"/>
  <c r="F232" i="3"/>
  <c r="E232" i="3"/>
  <c r="D232" i="3"/>
  <c r="C232" i="3"/>
  <c r="B232" i="3"/>
  <c r="L232" i="3" s="1"/>
  <c r="A232" i="3"/>
  <c r="M231" i="3"/>
  <c r="L231" i="3"/>
  <c r="K231" i="3"/>
  <c r="N231" i="3" s="1"/>
  <c r="J231" i="3"/>
  <c r="I231" i="3"/>
  <c r="H231" i="3"/>
  <c r="G231" i="3"/>
  <c r="O231" i="3" s="1"/>
  <c r="F231" i="3"/>
  <c r="E231" i="3"/>
  <c r="D231" i="3"/>
  <c r="C231" i="3"/>
  <c r="B231" i="3"/>
  <c r="A231" i="3"/>
  <c r="N230" i="3"/>
  <c r="L230" i="3"/>
  <c r="K230" i="3"/>
  <c r="J230" i="3"/>
  <c r="I230" i="3"/>
  <c r="H230" i="3"/>
  <c r="F230" i="3"/>
  <c r="G230" i="3" s="1"/>
  <c r="O230" i="3" s="1"/>
  <c r="E230" i="3"/>
  <c r="D230" i="3"/>
  <c r="C230" i="3"/>
  <c r="B230" i="3"/>
  <c r="M230" i="3" s="1"/>
  <c r="A230" i="3"/>
  <c r="M229" i="3"/>
  <c r="K229" i="3"/>
  <c r="N229" i="3" s="1"/>
  <c r="J229" i="3"/>
  <c r="I229" i="3"/>
  <c r="H229" i="3"/>
  <c r="F229" i="3"/>
  <c r="E229" i="3"/>
  <c r="G229" i="3" s="1"/>
  <c r="O229" i="3" s="1"/>
  <c r="D229" i="3"/>
  <c r="C229" i="3"/>
  <c r="B229" i="3"/>
  <c r="L229" i="3" s="1"/>
  <c r="A229" i="3"/>
  <c r="N228" i="3"/>
  <c r="L228" i="3"/>
  <c r="K228" i="3"/>
  <c r="J228" i="3"/>
  <c r="I228" i="3"/>
  <c r="H228" i="3"/>
  <c r="F228" i="3"/>
  <c r="E228" i="3"/>
  <c r="G228" i="3" s="1"/>
  <c r="O228" i="3" s="1"/>
  <c r="D228" i="3"/>
  <c r="C228" i="3"/>
  <c r="B228" i="3"/>
  <c r="M228" i="3" s="1"/>
  <c r="A228" i="3"/>
  <c r="M227" i="3"/>
  <c r="L227" i="3"/>
  <c r="K227" i="3"/>
  <c r="N227" i="3" s="1"/>
  <c r="J227" i="3"/>
  <c r="I227" i="3"/>
  <c r="H227" i="3"/>
  <c r="F227" i="3"/>
  <c r="E227" i="3"/>
  <c r="G227" i="3" s="1"/>
  <c r="O227" i="3" s="1"/>
  <c r="D227" i="3"/>
  <c r="C227" i="3"/>
  <c r="B227" i="3"/>
  <c r="A227" i="3"/>
  <c r="K226" i="3"/>
  <c r="N226" i="3" s="1"/>
  <c r="J226" i="3"/>
  <c r="I226" i="3"/>
  <c r="H226" i="3"/>
  <c r="G226" i="3"/>
  <c r="O226" i="3" s="1"/>
  <c r="F226" i="3"/>
  <c r="E226" i="3"/>
  <c r="D226" i="3"/>
  <c r="C226" i="3"/>
  <c r="B226" i="3"/>
  <c r="M226" i="3" s="1"/>
  <c r="A226" i="3"/>
  <c r="K225" i="3"/>
  <c r="N225" i="3" s="1"/>
  <c r="J225" i="3"/>
  <c r="I225" i="3"/>
  <c r="H225" i="3"/>
  <c r="F225" i="3"/>
  <c r="G225" i="3" s="1"/>
  <c r="O225" i="3" s="1"/>
  <c r="E225" i="3"/>
  <c r="D225" i="3"/>
  <c r="C225" i="3"/>
  <c r="B225" i="3"/>
  <c r="A225" i="3"/>
  <c r="N224" i="3"/>
  <c r="K224" i="3"/>
  <c r="J224" i="3"/>
  <c r="I224" i="3"/>
  <c r="H224" i="3"/>
  <c r="F224" i="3"/>
  <c r="E224" i="3"/>
  <c r="G224" i="3" s="1"/>
  <c r="O224" i="3" s="1"/>
  <c r="D224" i="3"/>
  <c r="C224" i="3"/>
  <c r="B224" i="3"/>
  <c r="A224" i="3"/>
  <c r="M223" i="3"/>
  <c r="L223" i="3"/>
  <c r="K223" i="3"/>
  <c r="N223" i="3" s="1"/>
  <c r="J223" i="3"/>
  <c r="I223" i="3"/>
  <c r="H223" i="3"/>
  <c r="F223" i="3"/>
  <c r="E223" i="3"/>
  <c r="G223" i="3" s="1"/>
  <c r="O223" i="3" s="1"/>
  <c r="D223" i="3"/>
  <c r="C223" i="3"/>
  <c r="B223" i="3"/>
  <c r="A223" i="3"/>
  <c r="O222" i="3"/>
  <c r="L222" i="3"/>
  <c r="K222" i="3"/>
  <c r="N222" i="3" s="1"/>
  <c r="J222" i="3"/>
  <c r="I222" i="3"/>
  <c r="H222" i="3"/>
  <c r="F222" i="3"/>
  <c r="G222" i="3" s="1"/>
  <c r="E222" i="3"/>
  <c r="D222" i="3"/>
  <c r="C222" i="3"/>
  <c r="B222" i="3"/>
  <c r="M222" i="3" s="1"/>
  <c r="A222" i="3"/>
  <c r="N221" i="3"/>
  <c r="M221" i="3"/>
  <c r="K221" i="3"/>
  <c r="J221" i="3"/>
  <c r="I221" i="3"/>
  <c r="H221" i="3"/>
  <c r="F221" i="3"/>
  <c r="E221" i="3"/>
  <c r="G221" i="3" s="1"/>
  <c r="O221" i="3" s="1"/>
  <c r="D221" i="3"/>
  <c r="C221" i="3"/>
  <c r="B221" i="3"/>
  <c r="L221" i="3" s="1"/>
  <c r="A221" i="3"/>
  <c r="N220" i="3"/>
  <c r="K220" i="3"/>
  <c r="J220" i="3"/>
  <c r="I220" i="3"/>
  <c r="H220" i="3"/>
  <c r="F220" i="3"/>
  <c r="E220" i="3"/>
  <c r="D220" i="3"/>
  <c r="C220" i="3"/>
  <c r="B220" i="3"/>
  <c r="M220" i="3" s="1"/>
  <c r="A220" i="3"/>
  <c r="M219" i="3"/>
  <c r="L219" i="3"/>
  <c r="K219" i="3"/>
  <c r="N219" i="3" s="1"/>
  <c r="J219" i="3"/>
  <c r="I219" i="3"/>
  <c r="H219" i="3"/>
  <c r="F219" i="3"/>
  <c r="E219" i="3"/>
  <c r="G219" i="3" s="1"/>
  <c r="O219" i="3" s="1"/>
  <c r="D219" i="3"/>
  <c r="C219" i="3"/>
  <c r="B219" i="3"/>
  <c r="A219" i="3"/>
  <c r="K218" i="3"/>
  <c r="N218" i="3" s="1"/>
  <c r="J218" i="3"/>
  <c r="I218" i="3"/>
  <c r="H218" i="3"/>
  <c r="G218" i="3"/>
  <c r="O218" i="3" s="1"/>
  <c r="F218" i="3"/>
  <c r="E218" i="3"/>
  <c r="D218" i="3"/>
  <c r="C218" i="3"/>
  <c r="B218" i="3"/>
  <c r="A218" i="3"/>
  <c r="N217" i="3"/>
  <c r="K217" i="3"/>
  <c r="J217" i="3"/>
  <c r="I217" i="3"/>
  <c r="H217" i="3"/>
  <c r="G217" i="3"/>
  <c r="O217" i="3" s="1"/>
  <c r="F217" i="3"/>
  <c r="E217" i="3"/>
  <c r="D217" i="3"/>
  <c r="C217" i="3"/>
  <c r="B217" i="3"/>
  <c r="A217" i="3"/>
  <c r="N216" i="3"/>
  <c r="M216" i="3"/>
  <c r="K216" i="3"/>
  <c r="J216" i="3"/>
  <c r="I216" i="3"/>
  <c r="H216" i="3"/>
  <c r="F216" i="3"/>
  <c r="E216" i="3"/>
  <c r="D216" i="3"/>
  <c r="C216" i="3"/>
  <c r="B216" i="3"/>
  <c r="L216" i="3" s="1"/>
  <c r="A216" i="3"/>
  <c r="O215" i="3"/>
  <c r="M215" i="3"/>
  <c r="L215" i="3"/>
  <c r="K215" i="3"/>
  <c r="N215" i="3" s="1"/>
  <c r="J215" i="3"/>
  <c r="I215" i="3"/>
  <c r="H215" i="3"/>
  <c r="G215" i="3"/>
  <c r="F215" i="3"/>
  <c r="E215" i="3"/>
  <c r="D215" i="3"/>
  <c r="C215" i="3"/>
  <c r="B215" i="3"/>
  <c r="A215" i="3"/>
  <c r="N214" i="3"/>
  <c r="L214" i="3"/>
  <c r="K214" i="3"/>
  <c r="J214" i="3"/>
  <c r="I214" i="3"/>
  <c r="H214" i="3"/>
  <c r="G214" i="3"/>
  <c r="O214" i="3" s="1"/>
  <c r="F214" i="3"/>
  <c r="E214" i="3"/>
  <c r="D214" i="3"/>
  <c r="C214" i="3"/>
  <c r="B214" i="3"/>
  <c r="M214" i="3" s="1"/>
  <c r="A214" i="3"/>
  <c r="N213" i="3"/>
  <c r="K213" i="3"/>
  <c r="J213" i="3"/>
  <c r="I213" i="3"/>
  <c r="H213" i="3"/>
  <c r="F213" i="3"/>
  <c r="E213" i="3"/>
  <c r="G213" i="3" s="1"/>
  <c r="O213" i="3" s="1"/>
  <c r="D213" i="3"/>
  <c r="C213" i="3"/>
  <c r="B213" i="3"/>
  <c r="L213" i="3" s="1"/>
  <c r="A213" i="3"/>
  <c r="N212" i="3"/>
  <c r="K212" i="3"/>
  <c r="J212" i="3"/>
  <c r="I212" i="3"/>
  <c r="H212" i="3"/>
  <c r="F212" i="3"/>
  <c r="E212" i="3"/>
  <c r="G212" i="3" s="1"/>
  <c r="O212" i="3" s="1"/>
  <c r="D212" i="3"/>
  <c r="C212" i="3"/>
  <c r="B212" i="3"/>
  <c r="A212" i="3"/>
  <c r="M211" i="3"/>
  <c r="L211" i="3"/>
  <c r="K211" i="3"/>
  <c r="N211" i="3" s="1"/>
  <c r="J211" i="3"/>
  <c r="I211" i="3"/>
  <c r="H211" i="3"/>
  <c r="F211" i="3"/>
  <c r="E211" i="3"/>
  <c r="G211" i="3" s="1"/>
  <c r="O211" i="3" s="1"/>
  <c r="D211" i="3"/>
  <c r="C211" i="3"/>
  <c r="B211" i="3"/>
  <c r="A211" i="3"/>
  <c r="O210" i="3"/>
  <c r="L210" i="3"/>
  <c r="K210" i="3"/>
  <c r="N210" i="3" s="1"/>
  <c r="J210" i="3"/>
  <c r="I210" i="3"/>
  <c r="H210" i="3"/>
  <c r="F210" i="3"/>
  <c r="G210" i="3" s="1"/>
  <c r="E210" i="3"/>
  <c r="D210" i="3"/>
  <c r="C210" i="3"/>
  <c r="B210" i="3"/>
  <c r="M210" i="3" s="1"/>
  <c r="A210" i="3"/>
  <c r="N209" i="3"/>
  <c r="M209" i="3"/>
  <c r="K209" i="3"/>
  <c r="J209" i="3"/>
  <c r="I209" i="3"/>
  <c r="H209" i="3"/>
  <c r="F209" i="3"/>
  <c r="E209" i="3"/>
  <c r="G209" i="3" s="1"/>
  <c r="O209" i="3" s="1"/>
  <c r="D209" i="3"/>
  <c r="C209" i="3"/>
  <c r="B209" i="3"/>
  <c r="L209" i="3" s="1"/>
  <c r="A209" i="3"/>
  <c r="N208" i="3"/>
  <c r="K208" i="3"/>
  <c r="J208" i="3"/>
  <c r="I208" i="3"/>
  <c r="H208" i="3"/>
  <c r="F208" i="3"/>
  <c r="E208" i="3"/>
  <c r="D208" i="3"/>
  <c r="C208" i="3"/>
  <c r="B208" i="3"/>
  <c r="M208" i="3" s="1"/>
  <c r="A208" i="3"/>
  <c r="M207" i="3"/>
  <c r="L207" i="3"/>
  <c r="K207" i="3"/>
  <c r="N207" i="3" s="1"/>
  <c r="J207" i="3"/>
  <c r="I207" i="3"/>
  <c r="H207" i="3"/>
  <c r="G207" i="3"/>
  <c r="O207" i="3" s="1"/>
  <c r="F207" i="3"/>
  <c r="E207" i="3"/>
  <c r="D207" i="3"/>
  <c r="C207" i="3"/>
  <c r="B207" i="3"/>
  <c r="A207" i="3"/>
  <c r="N206" i="3"/>
  <c r="K206" i="3"/>
  <c r="J206" i="3"/>
  <c r="I206" i="3"/>
  <c r="H206" i="3"/>
  <c r="F206" i="3"/>
  <c r="G206" i="3" s="1"/>
  <c r="O206" i="3" s="1"/>
  <c r="E206" i="3"/>
  <c r="D206" i="3"/>
  <c r="C206" i="3"/>
  <c r="B206" i="3"/>
  <c r="M206" i="3" s="1"/>
  <c r="A206" i="3"/>
  <c r="M205" i="3"/>
  <c r="K205" i="3"/>
  <c r="N205" i="3" s="1"/>
  <c r="J205" i="3"/>
  <c r="I205" i="3"/>
  <c r="H205" i="3"/>
  <c r="F205" i="3"/>
  <c r="E205" i="3"/>
  <c r="G205" i="3" s="1"/>
  <c r="O205" i="3" s="1"/>
  <c r="D205" i="3"/>
  <c r="C205" i="3"/>
  <c r="B205" i="3"/>
  <c r="L205" i="3" s="1"/>
  <c r="A205" i="3"/>
  <c r="N204" i="3"/>
  <c r="L204" i="3"/>
  <c r="K204" i="3"/>
  <c r="J204" i="3"/>
  <c r="I204" i="3"/>
  <c r="H204" i="3"/>
  <c r="F204" i="3"/>
  <c r="E204" i="3"/>
  <c r="G204" i="3" s="1"/>
  <c r="O204" i="3" s="1"/>
  <c r="D204" i="3"/>
  <c r="C204" i="3"/>
  <c r="B204" i="3"/>
  <c r="M204" i="3" s="1"/>
  <c r="A204" i="3"/>
  <c r="O203" i="3"/>
  <c r="M203" i="3"/>
  <c r="L203" i="3"/>
  <c r="K203" i="3"/>
  <c r="N203" i="3" s="1"/>
  <c r="J203" i="3"/>
  <c r="I203" i="3"/>
  <c r="H203" i="3"/>
  <c r="G203" i="3"/>
  <c r="F203" i="3"/>
  <c r="E203" i="3"/>
  <c r="D203" i="3"/>
  <c r="C203" i="3"/>
  <c r="B203" i="3"/>
  <c r="A203" i="3"/>
  <c r="N202" i="3"/>
  <c r="L202" i="3"/>
  <c r="K202" i="3"/>
  <c r="J202" i="3"/>
  <c r="I202" i="3"/>
  <c r="H202" i="3"/>
  <c r="G202" i="3"/>
  <c r="O202" i="3" s="1"/>
  <c r="F202" i="3"/>
  <c r="E202" i="3"/>
  <c r="D202" i="3"/>
  <c r="C202" i="3"/>
  <c r="B202" i="3"/>
  <c r="M202" i="3" s="1"/>
  <c r="A202" i="3"/>
  <c r="N201" i="3"/>
  <c r="K201" i="3"/>
  <c r="J201" i="3"/>
  <c r="I201" i="3"/>
  <c r="H201" i="3"/>
  <c r="G201" i="3"/>
  <c r="O201" i="3" s="1"/>
  <c r="F201" i="3"/>
  <c r="E201" i="3"/>
  <c r="D201" i="3"/>
  <c r="C201" i="3"/>
  <c r="B201" i="3"/>
  <c r="A201" i="3"/>
  <c r="N200" i="3"/>
  <c r="K200" i="3"/>
  <c r="J200" i="3"/>
  <c r="I200" i="3"/>
  <c r="H200" i="3"/>
  <c r="F200" i="3"/>
  <c r="G200" i="3" s="1"/>
  <c r="O200" i="3" s="1"/>
  <c r="E200" i="3"/>
  <c r="D200" i="3"/>
  <c r="C200" i="3"/>
  <c r="B200" i="3"/>
  <c r="M200" i="3" s="1"/>
  <c r="A200" i="3"/>
  <c r="N199" i="3"/>
  <c r="M199" i="3"/>
  <c r="K199" i="3"/>
  <c r="J199" i="3"/>
  <c r="I199" i="3"/>
  <c r="H199" i="3"/>
  <c r="F199" i="3"/>
  <c r="E199" i="3"/>
  <c r="G199" i="3" s="1"/>
  <c r="O199" i="3" s="1"/>
  <c r="D199" i="3"/>
  <c r="C199" i="3"/>
  <c r="B199" i="3"/>
  <c r="L199" i="3" s="1"/>
  <c r="A199" i="3"/>
  <c r="N198" i="3"/>
  <c r="M198" i="3"/>
  <c r="L198" i="3"/>
  <c r="K198" i="3"/>
  <c r="J198" i="3"/>
  <c r="I198" i="3"/>
  <c r="H198" i="3"/>
  <c r="G198" i="3"/>
  <c r="O198" i="3" s="1"/>
  <c r="F198" i="3"/>
  <c r="E198" i="3"/>
  <c r="D198" i="3"/>
  <c r="C198" i="3"/>
  <c r="B198" i="3"/>
  <c r="A198" i="3"/>
  <c r="N197" i="3"/>
  <c r="M197" i="3"/>
  <c r="L197" i="3"/>
  <c r="K197" i="3"/>
  <c r="J197" i="3"/>
  <c r="I197" i="3"/>
  <c r="H197" i="3"/>
  <c r="F197" i="3"/>
  <c r="G197" i="3" s="1"/>
  <c r="O197" i="3" s="1"/>
  <c r="E197" i="3"/>
  <c r="D197" i="3"/>
  <c r="C197" i="3"/>
  <c r="B197" i="3"/>
  <c r="A197" i="3"/>
  <c r="M196" i="3"/>
  <c r="K196" i="3"/>
  <c r="N196" i="3" s="1"/>
  <c r="J196" i="3"/>
  <c r="I196" i="3"/>
  <c r="H196" i="3"/>
  <c r="F196" i="3"/>
  <c r="E196" i="3"/>
  <c r="G196" i="3" s="1"/>
  <c r="O196" i="3" s="1"/>
  <c r="D196" i="3"/>
  <c r="C196" i="3"/>
  <c r="B196" i="3"/>
  <c r="L196" i="3" s="1"/>
  <c r="A196" i="3"/>
  <c r="L195" i="3"/>
  <c r="K195" i="3"/>
  <c r="N195" i="3" s="1"/>
  <c r="J195" i="3"/>
  <c r="I195" i="3"/>
  <c r="H195" i="3"/>
  <c r="G195" i="3"/>
  <c r="O195" i="3" s="1"/>
  <c r="F195" i="3"/>
  <c r="E195" i="3"/>
  <c r="D195" i="3"/>
  <c r="C195" i="3"/>
  <c r="B195" i="3"/>
  <c r="M195" i="3" s="1"/>
  <c r="A195" i="3"/>
  <c r="L194" i="3"/>
  <c r="K194" i="3"/>
  <c r="N194" i="3" s="1"/>
  <c r="J194" i="3"/>
  <c r="I194" i="3"/>
  <c r="H194" i="3"/>
  <c r="F194" i="3"/>
  <c r="E194" i="3"/>
  <c r="G194" i="3" s="1"/>
  <c r="O194" i="3" s="1"/>
  <c r="D194" i="3"/>
  <c r="C194" i="3"/>
  <c r="B194" i="3"/>
  <c r="M194" i="3" s="1"/>
  <c r="A194" i="3"/>
  <c r="K193" i="3"/>
  <c r="N193" i="3" s="1"/>
  <c r="J193" i="3"/>
  <c r="I193" i="3"/>
  <c r="H193" i="3"/>
  <c r="G193" i="3"/>
  <c r="O193" i="3" s="1"/>
  <c r="F193" i="3"/>
  <c r="E193" i="3"/>
  <c r="D193" i="3"/>
  <c r="C193" i="3"/>
  <c r="B193" i="3"/>
  <c r="A193" i="3"/>
  <c r="N192" i="3"/>
  <c r="K192" i="3"/>
  <c r="J192" i="3"/>
  <c r="I192" i="3"/>
  <c r="H192" i="3"/>
  <c r="F192" i="3"/>
  <c r="G192" i="3" s="1"/>
  <c r="O192" i="3" s="1"/>
  <c r="E192" i="3"/>
  <c r="D192" i="3"/>
  <c r="C192" i="3"/>
  <c r="B192" i="3"/>
  <c r="M192" i="3" s="1"/>
  <c r="A192" i="3"/>
  <c r="N191" i="3"/>
  <c r="M191" i="3"/>
  <c r="K191" i="3"/>
  <c r="J191" i="3"/>
  <c r="I191" i="3"/>
  <c r="H191" i="3"/>
  <c r="F191" i="3"/>
  <c r="E191" i="3"/>
  <c r="G191" i="3" s="1"/>
  <c r="O191" i="3" s="1"/>
  <c r="D191" i="3"/>
  <c r="C191" i="3"/>
  <c r="B191" i="3"/>
  <c r="L191" i="3" s="1"/>
  <c r="A191" i="3"/>
  <c r="N190" i="3"/>
  <c r="M190" i="3"/>
  <c r="L190" i="3"/>
  <c r="K190" i="3"/>
  <c r="J190" i="3"/>
  <c r="I190" i="3"/>
  <c r="H190" i="3"/>
  <c r="G190" i="3"/>
  <c r="O190" i="3" s="1"/>
  <c r="F190" i="3"/>
  <c r="E190" i="3"/>
  <c r="D190" i="3"/>
  <c r="C190" i="3"/>
  <c r="B190" i="3"/>
  <c r="A190" i="3"/>
  <c r="M189" i="3"/>
  <c r="L189" i="3"/>
  <c r="K189" i="3"/>
  <c r="N189" i="3" s="1"/>
  <c r="J189" i="3"/>
  <c r="I189" i="3"/>
  <c r="H189" i="3"/>
  <c r="F189" i="3"/>
  <c r="G189" i="3" s="1"/>
  <c r="O189" i="3" s="1"/>
  <c r="E189" i="3"/>
  <c r="D189" i="3"/>
  <c r="C189" i="3"/>
  <c r="B189" i="3"/>
  <c r="A189" i="3"/>
  <c r="K188" i="3"/>
  <c r="N188" i="3" s="1"/>
  <c r="J188" i="3"/>
  <c r="I188" i="3"/>
  <c r="H188" i="3"/>
  <c r="F188" i="3"/>
  <c r="E188" i="3"/>
  <c r="G188" i="3" s="1"/>
  <c r="O188" i="3" s="1"/>
  <c r="D188" i="3"/>
  <c r="C188" i="3"/>
  <c r="B188" i="3"/>
  <c r="L188" i="3" s="1"/>
  <c r="A188" i="3"/>
  <c r="L187" i="3"/>
  <c r="K187" i="3"/>
  <c r="N187" i="3" s="1"/>
  <c r="J187" i="3"/>
  <c r="I187" i="3"/>
  <c r="H187" i="3"/>
  <c r="F187" i="3"/>
  <c r="E187" i="3"/>
  <c r="G187" i="3" s="1"/>
  <c r="O187" i="3" s="1"/>
  <c r="D187" i="3"/>
  <c r="C187" i="3"/>
  <c r="B187" i="3"/>
  <c r="M187" i="3" s="1"/>
  <c r="A187" i="3"/>
  <c r="L186" i="3"/>
  <c r="K186" i="3"/>
  <c r="N186" i="3" s="1"/>
  <c r="J186" i="3"/>
  <c r="I186" i="3"/>
  <c r="H186" i="3"/>
  <c r="F186" i="3"/>
  <c r="E186" i="3"/>
  <c r="G186" i="3" s="1"/>
  <c r="O186" i="3" s="1"/>
  <c r="D186" i="3"/>
  <c r="C186" i="3"/>
  <c r="B186" i="3"/>
  <c r="M186" i="3" s="1"/>
  <c r="A186" i="3"/>
  <c r="K185" i="3"/>
  <c r="N185" i="3" s="1"/>
  <c r="J185" i="3"/>
  <c r="I185" i="3"/>
  <c r="H185" i="3"/>
  <c r="G185" i="3"/>
  <c r="O185" i="3" s="1"/>
  <c r="F185" i="3"/>
  <c r="E185" i="3"/>
  <c r="D185" i="3"/>
  <c r="C185" i="3"/>
  <c r="B185" i="3"/>
  <c r="A185" i="3"/>
  <c r="N184" i="3"/>
  <c r="K184" i="3"/>
  <c r="J184" i="3"/>
  <c r="I184" i="3"/>
  <c r="H184" i="3"/>
  <c r="F184" i="3"/>
  <c r="G184" i="3" s="1"/>
  <c r="O184" i="3" s="1"/>
  <c r="E184" i="3"/>
  <c r="D184" i="3"/>
  <c r="C184" i="3"/>
  <c r="B184" i="3"/>
  <c r="M184" i="3" s="1"/>
  <c r="A184" i="3"/>
  <c r="N183" i="3"/>
  <c r="M183" i="3"/>
  <c r="K183" i="3"/>
  <c r="J183" i="3"/>
  <c r="I183" i="3"/>
  <c r="H183" i="3"/>
  <c r="F183" i="3"/>
  <c r="E183" i="3"/>
  <c r="G183" i="3" s="1"/>
  <c r="O183" i="3" s="1"/>
  <c r="D183" i="3"/>
  <c r="C183" i="3"/>
  <c r="B183" i="3"/>
  <c r="L183" i="3" s="1"/>
  <c r="A183" i="3"/>
  <c r="N182" i="3"/>
  <c r="M182" i="3"/>
  <c r="L182" i="3"/>
  <c r="K182" i="3"/>
  <c r="J182" i="3"/>
  <c r="I182" i="3"/>
  <c r="H182" i="3"/>
  <c r="G182" i="3"/>
  <c r="O182" i="3" s="1"/>
  <c r="F182" i="3"/>
  <c r="E182" i="3"/>
  <c r="D182" i="3"/>
  <c r="C182" i="3"/>
  <c r="B182" i="3"/>
  <c r="A182" i="3"/>
  <c r="M181" i="3"/>
  <c r="L181" i="3"/>
  <c r="K181" i="3"/>
  <c r="N181" i="3" s="1"/>
  <c r="J181" i="3"/>
  <c r="I181" i="3"/>
  <c r="H181" i="3"/>
  <c r="F181" i="3"/>
  <c r="G181" i="3" s="1"/>
  <c r="O181" i="3" s="1"/>
  <c r="E181" i="3"/>
  <c r="D181" i="3"/>
  <c r="C181" i="3"/>
  <c r="B181" i="3"/>
  <c r="A181" i="3"/>
  <c r="K180" i="3"/>
  <c r="N180" i="3" s="1"/>
  <c r="J180" i="3"/>
  <c r="I180" i="3"/>
  <c r="H180" i="3"/>
  <c r="F180" i="3"/>
  <c r="E180" i="3"/>
  <c r="G180" i="3" s="1"/>
  <c r="O180" i="3" s="1"/>
  <c r="D180" i="3"/>
  <c r="C180" i="3"/>
  <c r="B180" i="3"/>
  <c r="L180" i="3" s="1"/>
  <c r="A180" i="3"/>
  <c r="L179" i="3"/>
  <c r="K179" i="3"/>
  <c r="N179" i="3" s="1"/>
  <c r="J179" i="3"/>
  <c r="I179" i="3"/>
  <c r="H179" i="3"/>
  <c r="F179" i="3"/>
  <c r="E179" i="3"/>
  <c r="G179" i="3" s="1"/>
  <c r="O179" i="3" s="1"/>
  <c r="D179" i="3"/>
  <c r="C179" i="3"/>
  <c r="B179" i="3"/>
  <c r="M179" i="3" s="1"/>
  <c r="A179" i="3"/>
  <c r="L178" i="3"/>
  <c r="K178" i="3"/>
  <c r="N178" i="3" s="1"/>
  <c r="J178" i="3"/>
  <c r="I178" i="3"/>
  <c r="H178" i="3"/>
  <c r="F178" i="3"/>
  <c r="E178" i="3"/>
  <c r="G178" i="3" s="1"/>
  <c r="O178" i="3" s="1"/>
  <c r="D178" i="3"/>
  <c r="C178" i="3"/>
  <c r="B178" i="3"/>
  <c r="M178" i="3" s="1"/>
  <c r="A178" i="3"/>
  <c r="K177" i="3"/>
  <c r="N177" i="3" s="1"/>
  <c r="J177" i="3"/>
  <c r="I177" i="3"/>
  <c r="H177" i="3"/>
  <c r="G177" i="3"/>
  <c r="O177" i="3" s="1"/>
  <c r="F177" i="3"/>
  <c r="E177" i="3"/>
  <c r="D177" i="3"/>
  <c r="C177" i="3"/>
  <c r="B177" i="3"/>
  <c r="A177" i="3"/>
  <c r="N176" i="3"/>
  <c r="K176" i="3"/>
  <c r="J176" i="3"/>
  <c r="I176" i="3"/>
  <c r="H176" i="3"/>
  <c r="F176" i="3"/>
  <c r="G176" i="3" s="1"/>
  <c r="O176" i="3" s="1"/>
  <c r="E176" i="3"/>
  <c r="D176" i="3"/>
  <c r="C176" i="3"/>
  <c r="B176" i="3"/>
  <c r="M176" i="3" s="1"/>
  <c r="A176" i="3"/>
  <c r="N175" i="3"/>
  <c r="M175" i="3"/>
  <c r="K175" i="3"/>
  <c r="J175" i="3"/>
  <c r="I175" i="3"/>
  <c r="H175" i="3"/>
  <c r="F175" i="3"/>
  <c r="E175" i="3"/>
  <c r="G175" i="3" s="1"/>
  <c r="O175" i="3" s="1"/>
  <c r="D175" i="3"/>
  <c r="C175" i="3"/>
  <c r="B175" i="3"/>
  <c r="L175" i="3" s="1"/>
  <c r="A175" i="3"/>
  <c r="N174" i="3"/>
  <c r="M174" i="3"/>
  <c r="L174" i="3"/>
  <c r="K174" i="3"/>
  <c r="J174" i="3"/>
  <c r="I174" i="3"/>
  <c r="H174" i="3"/>
  <c r="G174" i="3"/>
  <c r="O174" i="3" s="1"/>
  <c r="F174" i="3"/>
  <c r="E174" i="3"/>
  <c r="D174" i="3"/>
  <c r="C174" i="3"/>
  <c r="B174" i="3"/>
  <c r="A174" i="3"/>
  <c r="N173" i="3"/>
  <c r="M173" i="3"/>
  <c r="L173" i="3"/>
  <c r="K173" i="3"/>
  <c r="J173" i="3"/>
  <c r="I173" i="3"/>
  <c r="H173" i="3"/>
  <c r="F173" i="3"/>
  <c r="G173" i="3" s="1"/>
  <c r="O173" i="3" s="1"/>
  <c r="E173" i="3"/>
  <c r="D173" i="3"/>
  <c r="C173" i="3"/>
  <c r="B173" i="3"/>
  <c r="A173" i="3"/>
  <c r="N172" i="3"/>
  <c r="K172" i="3"/>
  <c r="J172" i="3"/>
  <c r="I172" i="3"/>
  <c r="H172" i="3"/>
  <c r="F172" i="3"/>
  <c r="E172" i="3"/>
  <c r="D172" i="3"/>
  <c r="C172" i="3"/>
  <c r="B172" i="3"/>
  <c r="L172" i="3" s="1"/>
  <c r="A172" i="3"/>
  <c r="K171" i="3"/>
  <c r="N171" i="3" s="1"/>
  <c r="J171" i="3"/>
  <c r="I171" i="3"/>
  <c r="H171" i="3"/>
  <c r="F171" i="3"/>
  <c r="E171" i="3"/>
  <c r="G171" i="3" s="1"/>
  <c r="O171" i="3" s="1"/>
  <c r="D171" i="3"/>
  <c r="C171" i="3"/>
  <c r="B171" i="3"/>
  <c r="M171" i="3" s="1"/>
  <c r="A171" i="3"/>
  <c r="L170" i="3"/>
  <c r="K170" i="3"/>
  <c r="N170" i="3" s="1"/>
  <c r="J170" i="3"/>
  <c r="I170" i="3"/>
  <c r="H170" i="3"/>
  <c r="F170" i="3"/>
  <c r="E170" i="3"/>
  <c r="G170" i="3" s="1"/>
  <c r="O170" i="3" s="1"/>
  <c r="D170" i="3"/>
  <c r="C170" i="3"/>
  <c r="B170" i="3"/>
  <c r="M170" i="3" s="1"/>
  <c r="A170" i="3"/>
  <c r="K169" i="3"/>
  <c r="N169" i="3" s="1"/>
  <c r="J169" i="3"/>
  <c r="I169" i="3"/>
  <c r="H169" i="3"/>
  <c r="G169" i="3"/>
  <c r="O169" i="3" s="1"/>
  <c r="F169" i="3"/>
  <c r="E169" i="3"/>
  <c r="D169" i="3"/>
  <c r="C169" i="3"/>
  <c r="B169" i="3"/>
  <c r="A169" i="3"/>
  <c r="N168" i="3"/>
  <c r="K168" i="3"/>
  <c r="J168" i="3"/>
  <c r="I168" i="3"/>
  <c r="H168" i="3"/>
  <c r="F168" i="3"/>
  <c r="G168" i="3" s="1"/>
  <c r="O168" i="3" s="1"/>
  <c r="E168" i="3"/>
  <c r="D168" i="3"/>
  <c r="C168" i="3"/>
  <c r="B168" i="3"/>
  <c r="A168" i="3"/>
  <c r="N167" i="3"/>
  <c r="M167" i="3"/>
  <c r="K167" i="3"/>
  <c r="J167" i="3"/>
  <c r="I167" i="3"/>
  <c r="H167" i="3"/>
  <c r="F167" i="3"/>
  <c r="E167" i="3"/>
  <c r="D167" i="3"/>
  <c r="C167" i="3"/>
  <c r="B167" i="3"/>
  <c r="L167" i="3" s="1"/>
  <c r="A167" i="3"/>
  <c r="N166" i="3"/>
  <c r="M166" i="3"/>
  <c r="L166" i="3"/>
  <c r="K166" i="3"/>
  <c r="J166" i="3"/>
  <c r="I166" i="3"/>
  <c r="H166" i="3"/>
  <c r="G166" i="3"/>
  <c r="O166" i="3" s="1"/>
  <c r="F166" i="3"/>
  <c r="E166" i="3"/>
  <c r="D166" i="3"/>
  <c r="C166" i="3"/>
  <c r="B166" i="3"/>
  <c r="A166" i="3"/>
  <c r="N165" i="3"/>
  <c r="M165" i="3"/>
  <c r="L165" i="3"/>
  <c r="K165" i="3"/>
  <c r="J165" i="3"/>
  <c r="I165" i="3"/>
  <c r="H165" i="3"/>
  <c r="F165" i="3"/>
  <c r="G165" i="3" s="1"/>
  <c r="O165" i="3" s="1"/>
  <c r="E165" i="3"/>
  <c r="D165" i="3"/>
  <c r="C165" i="3"/>
  <c r="B165" i="3"/>
  <c r="A165" i="3"/>
  <c r="K164" i="3"/>
  <c r="N164" i="3" s="1"/>
  <c r="J164" i="3"/>
  <c r="I164" i="3"/>
  <c r="H164" i="3"/>
  <c r="F164" i="3"/>
  <c r="E164" i="3"/>
  <c r="G164" i="3" s="1"/>
  <c r="O164" i="3" s="1"/>
  <c r="D164" i="3"/>
  <c r="C164" i="3"/>
  <c r="B164" i="3"/>
  <c r="L164" i="3" s="1"/>
  <c r="A164" i="3"/>
  <c r="M163" i="3"/>
  <c r="L163" i="3"/>
  <c r="K163" i="3"/>
  <c r="N163" i="3" s="1"/>
  <c r="J163" i="3"/>
  <c r="I163" i="3"/>
  <c r="H163" i="3"/>
  <c r="F163" i="3"/>
  <c r="E163" i="3"/>
  <c r="G163" i="3" s="1"/>
  <c r="O163" i="3" s="1"/>
  <c r="D163" i="3"/>
  <c r="C163" i="3"/>
  <c r="B163" i="3"/>
  <c r="A163" i="3"/>
  <c r="L162" i="3"/>
  <c r="K162" i="3"/>
  <c r="N162" i="3" s="1"/>
  <c r="J162" i="3"/>
  <c r="I162" i="3"/>
  <c r="H162" i="3"/>
  <c r="F162" i="3"/>
  <c r="G162" i="3" s="1"/>
  <c r="O162" i="3" s="1"/>
  <c r="E162" i="3"/>
  <c r="D162" i="3"/>
  <c r="C162" i="3"/>
  <c r="B162" i="3"/>
  <c r="M162" i="3" s="1"/>
  <c r="A162" i="3"/>
  <c r="O161" i="3"/>
  <c r="K161" i="3"/>
  <c r="N161" i="3" s="1"/>
  <c r="J161" i="3"/>
  <c r="I161" i="3"/>
  <c r="H161" i="3"/>
  <c r="G161" i="3"/>
  <c r="F161" i="3"/>
  <c r="E161" i="3"/>
  <c r="D161" i="3"/>
  <c r="C161" i="3"/>
  <c r="B161" i="3"/>
  <c r="A161" i="3"/>
  <c r="N160" i="3"/>
  <c r="K160" i="3"/>
  <c r="J160" i="3"/>
  <c r="I160" i="3"/>
  <c r="H160" i="3"/>
  <c r="G160" i="3"/>
  <c r="O160" i="3" s="1"/>
  <c r="F160" i="3"/>
  <c r="E160" i="3"/>
  <c r="D160" i="3"/>
  <c r="C160" i="3"/>
  <c r="B160" i="3"/>
  <c r="A160" i="3"/>
  <c r="N159" i="3"/>
  <c r="M159" i="3"/>
  <c r="K159" i="3"/>
  <c r="J159" i="3"/>
  <c r="I159" i="3"/>
  <c r="H159" i="3"/>
  <c r="F159" i="3"/>
  <c r="E159" i="3"/>
  <c r="D159" i="3"/>
  <c r="C159" i="3"/>
  <c r="B159" i="3"/>
  <c r="L159" i="3" s="1"/>
  <c r="A159" i="3"/>
  <c r="N158" i="3"/>
  <c r="M158" i="3"/>
  <c r="L158" i="3"/>
  <c r="K158" i="3"/>
  <c r="J158" i="3"/>
  <c r="I158" i="3"/>
  <c r="H158" i="3"/>
  <c r="F158" i="3"/>
  <c r="E158" i="3"/>
  <c r="G158" i="3" s="1"/>
  <c r="O158" i="3" s="1"/>
  <c r="D158" i="3"/>
  <c r="C158" i="3"/>
  <c r="B158" i="3"/>
  <c r="A158" i="3"/>
  <c r="M157" i="3"/>
  <c r="L157" i="3"/>
  <c r="K157" i="3"/>
  <c r="N157" i="3" s="1"/>
  <c r="J157" i="3"/>
  <c r="I157" i="3"/>
  <c r="H157" i="3"/>
  <c r="F157" i="3"/>
  <c r="G157" i="3" s="1"/>
  <c r="O157" i="3" s="1"/>
  <c r="E157" i="3"/>
  <c r="D157" i="3"/>
  <c r="C157" i="3"/>
  <c r="B157" i="3"/>
  <c r="A157" i="3"/>
  <c r="K156" i="3"/>
  <c r="N156" i="3" s="1"/>
  <c r="J156" i="3"/>
  <c r="I156" i="3"/>
  <c r="H156" i="3"/>
  <c r="F156" i="3"/>
  <c r="E156" i="3"/>
  <c r="G156" i="3" s="1"/>
  <c r="O156" i="3" s="1"/>
  <c r="D156" i="3"/>
  <c r="C156" i="3"/>
  <c r="B156" i="3"/>
  <c r="L156" i="3" s="1"/>
  <c r="A156" i="3"/>
  <c r="M155" i="3"/>
  <c r="L155" i="3"/>
  <c r="K155" i="3"/>
  <c r="N155" i="3" s="1"/>
  <c r="J155" i="3"/>
  <c r="I155" i="3"/>
  <c r="H155" i="3"/>
  <c r="F155" i="3"/>
  <c r="E155" i="3"/>
  <c r="G155" i="3" s="1"/>
  <c r="O155" i="3" s="1"/>
  <c r="D155" i="3"/>
  <c r="C155" i="3"/>
  <c r="B155" i="3"/>
  <c r="A155" i="3"/>
  <c r="L154" i="3"/>
  <c r="K154" i="3"/>
  <c r="N154" i="3" s="1"/>
  <c r="J154" i="3"/>
  <c r="I154" i="3"/>
  <c r="H154" i="3"/>
  <c r="F154" i="3"/>
  <c r="G154" i="3" s="1"/>
  <c r="O154" i="3" s="1"/>
  <c r="E154" i="3"/>
  <c r="D154" i="3"/>
  <c r="C154" i="3"/>
  <c r="B154" i="3"/>
  <c r="M154" i="3" s="1"/>
  <c r="A154" i="3"/>
  <c r="M153" i="3"/>
  <c r="K153" i="3"/>
  <c r="N153" i="3" s="1"/>
  <c r="J153" i="3"/>
  <c r="I153" i="3"/>
  <c r="H153" i="3"/>
  <c r="G153" i="3"/>
  <c r="O153" i="3" s="1"/>
  <c r="F153" i="3"/>
  <c r="E153" i="3"/>
  <c r="D153" i="3"/>
  <c r="C153" i="3"/>
  <c r="B153" i="3"/>
  <c r="L153" i="3" s="1"/>
  <c r="A153" i="3"/>
  <c r="N152" i="3"/>
  <c r="L152" i="3"/>
  <c r="K152" i="3"/>
  <c r="J152" i="3"/>
  <c r="I152" i="3"/>
  <c r="H152" i="3"/>
  <c r="G152" i="3"/>
  <c r="O152" i="3" s="1"/>
  <c r="F152" i="3"/>
  <c r="E152" i="3"/>
  <c r="D152" i="3"/>
  <c r="C152" i="3"/>
  <c r="B152" i="3"/>
  <c r="M152" i="3" s="1"/>
  <c r="A152" i="3"/>
  <c r="N151" i="3"/>
  <c r="M151" i="3"/>
  <c r="K151" i="3"/>
  <c r="J151" i="3"/>
  <c r="I151" i="3"/>
  <c r="H151" i="3"/>
  <c r="F151" i="3"/>
  <c r="E151" i="3"/>
  <c r="D151" i="3"/>
  <c r="C151" i="3"/>
  <c r="B151" i="3"/>
  <c r="L151" i="3" s="1"/>
  <c r="A151" i="3"/>
  <c r="N150" i="3"/>
  <c r="M150" i="3"/>
  <c r="K150" i="3"/>
  <c r="J150" i="3"/>
  <c r="I150" i="3"/>
  <c r="H150" i="3"/>
  <c r="G150" i="3"/>
  <c r="O150" i="3" s="1"/>
  <c r="F150" i="3"/>
  <c r="E150" i="3"/>
  <c r="D150" i="3"/>
  <c r="C150" i="3"/>
  <c r="B150" i="3"/>
  <c r="L150" i="3" s="1"/>
  <c r="A150" i="3"/>
  <c r="N149" i="3"/>
  <c r="M149" i="3"/>
  <c r="L149" i="3"/>
  <c r="K149" i="3"/>
  <c r="J149" i="3"/>
  <c r="I149" i="3"/>
  <c r="H149" i="3"/>
  <c r="F149" i="3"/>
  <c r="G149" i="3" s="1"/>
  <c r="O149" i="3" s="1"/>
  <c r="E149" i="3"/>
  <c r="D149" i="3"/>
  <c r="C149" i="3"/>
  <c r="B149" i="3"/>
  <c r="A149" i="3"/>
  <c r="M148" i="3"/>
  <c r="L148" i="3"/>
  <c r="K148" i="3"/>
  <c r="N148" i="3" s="1"/>
  <c r="J148" i="3"/>
  <c r="I148" i="3"/>
  <c r="H148" i="3"/>
  <c r="F148" i="3"/>
  <c r="E148" i="3"/>
  <c r="D148" i="3"/>
  <c r="C148" i="3"/>
  <c r="B148" i="3"/>
  <c r="A148" i="3"/>
  <c r="K147" i="3"/>
  <c r="N147" i="3" s="1"/>
  <c r="J147" i="3"/>
  <c r="I147" i="3"/>
  <c r="H147" i="3"/>
  <c r="G147" i="3"/>
  <c r="O147" i="3" s="1"/>
  <c r="F147" i="3"/>
  <c r="E147" i="3"/>
  <c r="D147" i="3"/>
  <c r="C147" i="3"/>
  <c r="B147" i="3"/>
  <c r="M147" i="3" s="1"/>
  <c r="A147" i="3"/>
  <c r="N146" i="3"/>
  <c r="L146" i="3"/>
  <c r="K146" i="3"/>
  <c r="J146" i="3"/>
  <c r="I146" i="3"/>
  <c r="H146" i="3"/>
  <c r="F146" i="3"/>
  <c r="G146" i="3" s="1"/>
  <c r="O146" i="3" s="1"/>
  <c r="E146" i="3"/>
  <c r="D146" i="3"/>
  <c r="C146" i="3"/>
  <c r="B146" i="3"/>
  <c r="M146" i="3" s="1"/>
  <c r="A146" i="3"/>
  <c r="K145" i="3"/>
  <c r="N145" i="3" s="1"/>
  <c r="J145" i="3"/>
  <c r="I145" i="3"/>
  <c r="H145" i="3"/>
  <c r="F145" i="3"/>
  <c r="E145" i="3"/>
  <c r="G145" i="3" s="1"/>
  <c r="O145" i="3" s="1"/>
  <c r="D145" i="3"/>
  <c r="C145" i="3"/>
  <c r="B145" i="3"/>
  <c r="L145" i="3" s="1"/>
  <c r="A145" i="3"/>
  <c r="N144" i="3"/>
  <c r="L144" i="3"/>
  <c r="K144" i="3"/>
  <c r="J144" i="3"/>
  <c r="I144" i="3"/>
  <c r="H144" i="3"/>
  <c r="F144" i="3"/>
  <c r="G144" i="3" s="1"/>
  <c r="O144" i="3" s="1"/>
  <c r="E144" i="3"/>
  <c r="D144" i="3"/>
  <c r="C144" i="3"/>
  <c r="B144" i="3"/>
  <c r="M144" i="3" s="1"/>
  <c r="A144" i="3"/>
  <c r="N143" i="3"/>
  <c r="M143" i="3"/>
  <c r="L143" i="3"/>
  <c r="K143" i="3"/>
  <c r="J143" i="3"/>
  <c r="I143" i="3"/>
  <c r="H143" i="3"/>
  <c r="G143" i="3"/>
  <c r="O143" i="3" s="1"/>
  <c r="F143" i="3"/>
  <c r="E143" i="3"/>
  <c r="D143" i="3"/>
  <c r="C143" i="3"/>
  <c r="B143" i="3"/>
  <c r="A143" i="3"/>
  <c r="N142" i="3"/>
  <c r="M142" i="3"/>
  <c r="L142" i="3"/>
  <c r="K142" i="3"/>
  <c r="J142" i="3"/>
  <c r="I142" i="3"/>
  <c r="H142" i="3"/>
  <c r="F142" i="3"/>
  <c r="G142" i="3" s="1"/>
  <c r="O142" i="3" s="1"/>
  <c r="E142" i="3"/>
  <c r="D142" i="3"/>
  <c r="C142" i="3"/>
  <c r="B142" i="3"/>
  <c r="A142" i="3"/>
  <c r="M141" i="3"/>
  <c r="L141" i="3"/>
  <c r="K141" i="3"/>
  <c r="N141" i="3" s="1"/>
  <c r="J141" i="3"/>
  <c r="I141" i="3"/>
  <c r="H141" i="3"/>
  <c r="F141" i="3"/>
  <c r="E141" i="3"/>
  <c r="G141" i="3" s="1"/>
  <c r="O141" i="3" s="1"/>
  <c r="D141" i="3"/>
  <c r="C141" i="3"/>
  <c r="B141" i="3"/>
  <c r="A141" i="3"/>
  <c r="K140" i="3"/>
  <c r="N140" i="3" s="1"/>
  <c r="J140" i="3"/>
  <c r="I140" i="3"/>
  <c r="H140" i="3"/>
  <c r="F140" i="3"/>
  <c r="E140" i="3"/>
  <c r="D140" i="3"/>
  <c r="C140" i="3"/>
  <c r="B140" i="3"/>
  <c r="M140" i="3" s="1"/>
  <c r="A140" i="3"/>
  <c r="O139" i="3"/>
  <c r="L139" i="3"/>
  <c r="K139" i="3"/>
  <c r="N139" i="3" s="1"/>
  <c r="J139" i="3"/>
  <c r="I139" i="3"/>
  <c r="H139" i="3"/>
  <c r="G139" i="3"/>
  <c r="F139" i="3"/>
  <c r="E139" i="3"/>
  <c r="D139" i="3"/>
  <c r="C139" i="3"/>
  <c r="B139" i="3"/>
  <c r="M139" i="3" s="1"/>
  <c r="A139" i="3"/>
  <c r="N138" i="3"/>
  <c r="K138" i="3"/>
  <c r="J138" i="3"/>
  <c r="I138" i="3"/>
  <c r="H138" i="3"/>
  <c r="F138" i="3"/>
  <c r="G138" i="3" s="1"/>
  <c r="O138" i="3" s="1"/>
  <c r="E138" i="3"/>
  <c r="D138" i="3"/>
  <c r="C138" i="3"/>
  <c r="B138" i="3"/>
  <c r="M138" i="3" s="1"/>
  <c r="A138" i="3"/>
  <c r="K137" i="3"/>
  <c r="N137" i="3" s="1"/>
  <c r="J137" i="3"/>
  <c r="I137" i="3"/>
  <c r="H137" i="3"/>
  <c r="G137" i="3"/>
  <c r="O137" i="3" s="1"/>
  <c r="F137" i="3"/>
  <c r="E137" i="3"/>
  <c r="D137" i="3"/>
  <c r="C137" i="3"/>
  <c r="B137" i="3"/>
  <c r="L137" i="3" s="1"/>
  <c r="A137" i="3"/>
  <c r="N136" i="3"/>
  <c r="K136" i="3"/>
  <c r="J136" i="3"/>
  <c r="I136" i="3"/>
  <c r="H136" i="3"/>
  <c r="G136" i="3"/>
  <c r="O136" i="3" s="1"/>
  <c r="F136" i="3"/>
  <c r="E136" i="3"/>
  <c r="D136" i="3"/>
  <c r="C136" i="3"/>
  <c r="B136" i="3"/>
  <c r="M136" i="3" s="1"/>
  <c r="A136" i="3"/>
  <c r="N135" i="3"/>
  <c r="M135" i="3"/>
  <c r="L135" i="3"/>
  <c r="K135" i="3"/>
  <c r="J135" i="3"/>
  <c r="I135" i="3"/>
  <c r="H135" i="3"/>
  <c r="F135" i="3"/>
  <c r="G135" i="3" s="1"/>
  <c r="O135" i="3" s="1"/>
  <c r="E135" i="3"/>
  <c r="D135" i="3"/>
  <c r="C135" i="3"/>
  <c r="B135" i="3"/>
  <c r="A135" i="3"/>
  <c r="N134" i="3"/>
  <c r="M134" i="3"/>
  <c r="L134" i="3"/>
  <c r="K134" i="3"/>
  <c r="J134" i="3"/>
  <c r="I134" i="3"/>
  <c r="H134" i="3"/>
  <c r="F134" i="3"/>
  <c r="E134" i="3"/>
  <c r="G134" i="3" s="1"/>
  <c r="O134" i="3" s="1"/>
  <c r="D134" i="3"/>
  <c r="C134" i="3"/>
  <c r="B134" i="3"/>
  <c r="A134" i="3"/>
  <c r="M133" i="3"/>
  <c r="L133" i="3"/>
  <c r="K133" i="3"/>
  <c r="N133" i="3" s="1"/>
  <c r="J133" i="3"/>
  <c r="I133" i="3"/>
  <c r="H133" i="3"/>
  <c r="F133" i="3"/>
  <c r="E133" i="3"/>
  <c r="G133" i="3" s="1"/>
  <c r="O133" i="3" s="1"/>
  <c r="D133" i="3"/>
  <c r="C133" i="3"/>
  <c r="B133" i="3"/>
  <c r="A133" i="3"/>
  <c r="K132" i="3"/>
  <c r="N132" i="3" s="1"/>
  <c r="J132" i="3"/>
  <c r="I132" i="3"/>
  <c r="H132" i="3"/>
  <c r="F132" i="3"/>
  <c r="E132" i="3"/>
  <c r="G132" i="3" s="1"/>
  <c r="O132" i="3" s="1"/>
  <c r="D132" i="3"/>
  <c r="C132" i="3"/>
  <c r="B132" i="3"/>
  <c r="M132" i="3" s="1"/>
  <c r="A132" i="3"/>
  <c r="M131" i="3"/>
  <c r="K131" i="3"/>
  <c r="N131" i="3" s="1"/>
  <c r="J131" i="3"/>
  <c r="I131" i="3"/>
  <c r="H131" i="3"/>
  <c r="G131" i="3"/>
  <c r="O131" i="3" s="1"/>
  <c r="F131" i="3"/>
  <c r="E131" i="3"/>
  <c r="D131" i="3"/>
  <c r="C131" i="3"/>
  <c r="B131" i="3"/>
  <c r="L131" i="3" s="1"/>
  <c r="A131" i="3"/>
  <c r="N130" i="3"/>
  <c r="L130" i="3"/>
  <c r="K130" i="3"/>
  <c r="J130" i="3"/>
  <c r="I130" i="3"/>
  <c r="H130" i="3"/>
  <c r="F130" i="3"/>
  <c r="G130" i="3" s="1"/>
  <c r="O130" i="3" s="1"/>
  <c r="E130" i="3"/>
  <c r="D130" i="3"/>
  <c r="C130" i="3"/>
  <c r="B130" i="3"/>
  <c r="M130" i="3" s="1"/>
  <c r="A130" i="3"/>
  <c r="M129" i="3"/>
  <c r="K129" i="3"/>
  <c r="N129" i="3" s="1"/>
  <c r="J129" i="3"/>
  <c r="I129" i="3"/>
  <c r="H129" i="3"/>
  <c r="G129" i="3"/>
  <c r="O129" i="3" s="1"/>
  <c r="F129" i="3"/>
  <c r="E129" i="3"/>
  <c r="D129" i="3"/>
  <c r="C129" i="3"/>
  <c r="B129" i="3"/>
  <c r="L129" i="3" s="1"/>
  <c r="A129" i="3"/>
  <c r="N128" i="3"/>
  <c r="L128" i="3"/>
  <c r="K128" i="3"/>
  <c r="J128" i="3"/>
  <c r="I128" i="3"/>
  <c r="H128" i="3"/>
  <c r="F128" i="3"/>
  <c r="G128" i="3" s="1"/>
  <c r="O128" i="3" s="1"/>
  <c r="E128" i="3"/>
  <c r="D128" i="3"/>
  <c r="C128" i="3"/>
  <c r="B128" i="3"/>
  <c r="M128" i="3" s="1"/>
  <c r="A128" i="3"/>
  <c r="M127" i="3"/>
  <c r="L127" i="3"/>
  <c r="K127" i="3"/>
  <c r="N127" i="3" s="1"/>
  <c r="J127" i="3"/>
  <c r="I127" i="3"/>
  <c r="H127" i="3"/>
  <c r="F127" i="3"/>
  <c r="E127" i="3"/>
  <c r="G127" i="3" s="1"/>
  <c r="O127" i="3" s="1"/>
  <c r="D127" i="3"/>
  <c r="C127" i="3"/>
  <c r="B127" i="3"/>
  <c r="A127" i="3"/>
  <c r="L126" i="3"/>
  <c r="K126" i="3"/>
  <c r="N126" i="3" s="1"/>
  <c r="J126" i="3"/>
  <c r="I126" i="3"/>
  <c r="H126" i="3"/>
  <c r="F126" i="3"/>
  <c r="E126" i="3"/>
  <c r="G126" i="3" s="1"/>
  <c r="O126" i="3" s="1"/>
  <c r="D126" i="3"/>
  <c r="C126" i="3"/>
  <c r="B126" i="3"/>
  <c r="M126" i="3" s="1"/>
  <c r="A126" i="3"/>
  <c r="L125" i="3"/>
  <c r="K125" i="3"/>
  <c r="N125" i="3" s="1"/>
  <c r="J125" i="3"/>
  <c r="I125" i="3"/>
  <c r="H125" i="3"/>
  <c r="G125" i="3"/>
  <c r="O125" i="3" s="1"/>
  <c r="F125" i="3"/>
  <c r="E125" i="3"/>
  <c r="D125" i="3"/>
  <c r="C125" i="3"/>
  <c r="B125" i="3"/>
  <c r="M125" i="3" s="1"/>
  <c r="A125" i="3"/>
  <c r="M124" i="3"/>
  <c r="L124" i="3"/>
  <c r="K124" i="3"/>
  <c r="N124" i="3" s="1"/>
  <c r="J124" i="3"/>
  <c r="I124" i="3"/>
  <c r="H124" i="3"/>
  <c r="F124" i="3"/>
  <c r="E124" i="3"/>
  <c r="D124" i="3"/>
  <c r="C124" i="3"/>
  <c r="B124" i="3"/>
  <c r="A124" i="3"/>
  <c r="O123" i="3"/>
  <c r="M123" i="3"/>
  <c r="L123" i="3"/>
  <c r="K123" i="3"/>
  <c r="N123" i="3" s="1"/>
  <c r="J123" i="3"/>
  <c r="I123" i="3"/>
  <c r="H123" i="3"/>
  <c r="G123" i="3"/>
  <c r="F123" i="3"/>
  <c r="E123" i="3"/>
  <c r="D123" i="3"/>
  <c r="C123" i="3"/>
  <c r="B123" i="3"/>
  <c r="A123" i="3"/>
  <c r="N122" i="3"/>
  <c r="L122" i="3"/>
  <c r="K122" i="3"/>
  <c r="J122" i="3"/>
  <c r="I122" i="3"/>
  <c r="H122" i="3"/>
  <c r="G122" i="3"/>
  <c r="O122" i="3" s="1"/>
  <c r="F122" i="3"/>
  <c r="E122" i="3"/>
  <c r="D122" i="3"/>
  <c r="C122" i="3"/>
  <c r="B122" i="3"/>
  <c r="M122" i="3" s="1"/>
  <c r="A122" i="3"/>
  <c r="K121" i="3"/>
  <c r="N121" i="3" s="1"/>
  <c r="J121" i="3"/>
  <c r="I121" i="3"/>
  <c r="H121" i="3"/>
  <c r="F121" i="3"/>
  <c r="E121" i="3"/>
  <c r="G121" i="3" s="1"/>
  <c r="O121" i="3" s="1"/>
  <c r="D121" i="3"/>
  <c r="C121" i="3"/>
  <c r="B121" i="3"/>
  <c r="L121" i="3" s="1"/>
  <c r="A121" i="3"/>
  <c r="N120" i="3"/>
  <c r="K120" i="3"/>
  <c r="J120" i="3"/>
  <c r="I120" i="3"/>
  <c r="H120" i="3"/>
  <c r="G120" i="3"/>
  <c r="O120" i="3" s="1"/>
  <c r="F120" i="3"/>
  <c r="E120" i="3"/>
  <c r="D120" i="3"/>
  <c r="C120" i="3"/>
  <c r="B120" i="3"/>
  <c r="M120" i="3" s="1"/>
  <c r="A120" i="3"/>
  <c r="N119" i="3"/>
  <c r="M119" i="3"/>
  <c r="L119" i="3"/>
  <c r="K119" i="3"/>
  <c r="J119" i="3"/>
  <c r="I119" i="3"/>
  <c r="H119" i="3"/>
  <c r="F119" i="3"/>
  <c r="G119" i="3" s="1"/>
  <c r="O119" i="3" s="1"/>
  <c r="E119" i="3"/>
  <c r="D119" i="3"/>
  <c r="C119" i="3"/>
  <c r="B119" i="3"/>
  <c r="A119" i="3"/>
  <c r="N118" i="3"/>
  <c r="M118" i="3"/>
  <c r="K118" i="3"/>
  <c r="J118" i="3"/>
  <c r="I118" i="3"/>
  <c r="H118" i="3"/>
  <c r="G118" i="3"/>
  <c r="O118" i="3" s="1"/>
  <c r="F118" i="3"/>
  <c r="E118" i="3"/>
  <c r="D118" i="3"/>
  <c r="C118" i="3"/>
  <c r="B118" i="3"/>
  <c r="L118" i="3" s="1"/>
  <c r="A118" i="3"/>
  <c r="N117" i="3"/>
  <c r="M117" i="3"/>
  <c r="L117" i="3"/>
  <c r="K117" i="3"/>
  <c r="J117" i="3"/>
  <c r="I117" i="3"/>
  <c r="H117" i="3"/>
  <c r="F117" i="3"/>
  <c r="G117" i="3" s="1"/>
  <c r="O117" i="3" s="1"/>
  <c r="E117" i="3"/>
  <c r="D117" i="3"/>
  <c r="C117" i="3"/>
  <c r="B117" i="3"/>
  <c r="A117" i="3"/>
  <c r="M116" i="3"/>
  <c r="L116" i="3"/>
  <c r="K116" i="3"/>
  <c r="N116" i="3" s="1"/>
  <c r="J116" i="3"/>
  <c r="I116" i="3"/>
  <c r="H116" i="3"/>
  <c r="F116" i="3"/>
  <c r="E116" i="3"/>
  <c r="D116" i="3"/>
  <c r="C116" i="3"/>
  <c r="B116" i="3"/>
  <c r="A116" i="3"/>
  <c r="K115" i="3"/>
  <c r="N115" i="3" s="1"/>
  <c r="J115" i="3"/>
  <c r="I115" i="3"/>
  <c r="H115" i="3"/>
  <c r="G115" i="3"/>
  <c r="O115" i="3" s="1"/>
  <c r="F115" i="3"/>
  <c r="E115" i="3"/>
  <c r="D115" i="3"/>
  <c r="C115" i="3"/>
  <c r="B115" i="3"/>
  <c r="M115" i="3" s="1"/>
  <c r="A115" i="3"/>
  <c r="N114" i="3"/>
  <c r="K114" i="3"/>
  <c r="J114" i="3"/>
  <c r="I114" i="3"/>
  <c r="H114" i="3"/>
  <c r="G114" i="3"/>
  <c r="O114" i="3" s="1"/>
  <c r="F114" i="3"/>
  <c r="E114" i="3"/>
  <c r="D114" i="3"/>
  <c r="C114" i="3"/>
  <c r="B114" i="3"/>
  <c r="M114" i="3" s="1"/>
  <c r="A114" i="3"/>
  <c r="N113" i="3"/>
  <c r="M113" i="3"/>
  <c r="L113" i="3"/>
  <c r="K113" i="3"/>
  <c r="J113" i="3"/>
  <c r="I113" i="3"/>
  <c r="H113" i="3"/>
  <c r="F113" i="3"/>
  <c r="G113" i="3" s="1"/>
  <c r="O113" i="3" s="1"/>
  <c r="E113" i="3"/>
  <c r="D113" i="3"/>
  <c r="C113" i="3"/>
  <c r="B113" i="3"/>
  <c r="A113" i="3"/>
  <c r="M112" i="3"/>
  <c r="L112" i="3"/>
  <c r="K112" i="3"/>
  <c r="N112" i="3" s="1"/>
  <c r="J112" i="3"/>
  <c r="I112" i="3"/>
  <c r="H112" i="3"/>
  <c r="F112" i="3"/>
  <c r="E112" i="3"/>
  <c r="G112" i="3" s="1"/>
  <c r="O112" i="3" s="1"/>
  <c r="D112" i="3"/>
  <c r="C112" i="3"/>
  <c r="B112" i="3"/>
  <c r="A112" i="3"/>
  <c r="L111" i="3"/>
  <c r="K111" i="3"/>
  <c r="N111" i="3" s="1"/>
  <c r="J111" i="3"/>
  <c r="I111" i="3"/>
  <c r="H111" i="3"/>
  <c r="F111" i="3"/>
  <c r="E111" i="3"/>
  <c r="G111" i="3" s="1"/>
  <c r="O111" i="3" s="1"/>
  <c r="D111" i="3"/>
  <c r="C111" i="3"/>
  <c r="B111" i="3"/>
  <c r="M111" i="3" s="1"/>
  <c r="A111" i="3"/>
  <c r="L110" i="3"/>
  <c r="K110" i="3"/>
  <c r="N110" i="3" s="1"/>
  <c r="J110" i="3"/>
  <c r="I110" i="3"/>
  <c r="H110" i="3"/>
  <c r="G110" i="3"/>
  <c r="O110" i="3" s="1"/>
  <c r="F110" i="3"/>
  <c r="E110" i="3"/>
  <c r="D110" i="3"/>
  <c r="C110" i="3"/>
  <c r="B110" i="3"/>
  <c r="M110" i="3" s="1"/>
  <c r="A110" i="3"/>
  <c r="K109" i="3"/>
  <c r="N109" i="3" s="1"/>
  <c r="J109" i="3"/>
  <c r="I109" i="3"/>
  <c r="H109" i="3"/>
  <c r="F109" i="3"/>
  <c r="E109" i="3"/>
  <c r="G109" i="3" s="1"/>
  <c r="O109" i="3" s="1"/>
  <c r="D109" i="3"/>
  <c r="C109" i="3"/>
  <c r="B109" i="3"/>
  <c r="A109" i="3"/>
  <c r="K108" i="3"/>
  <c r="N108" i="3" s="1"/>
  <c r="J108" i="3"/>
  <c r="I108" i="3"/>
  <c r="H108" i="3"/>
  <c r="G108" i="3"/>
  <c r="O108" i="3" s="1"/>
  <c r="F108" i="3"/>
  <c r="E108" i="3"/>
  <c r="D108" i="3"/>
  <c r="C108" i="3"/>
  <c r="B108" i="3"/>
  <c r="M108" i="3" s="1"/>
  <c r="A108" i="3"/>
  <c r="N107" i="3"/>
  <c r="L107" i="3"/>
  <c r="K107" i="3"/>
  <c r="J107" i="3"/>
  <c r="I107" i="3"/>
  <c r="H107" i="3"/>
  <c r="F107" i="3"/>
  <c r="G107" i="3" s="1"/>
  <c r="O107" i="3" s="1"/>
  <c r="E107" i="3"/>
  <c r="D107" i="3"/>
  <c r="C107" i="3"/>
  <c r="B107" i="3"/>
  <c r="M107" i="3" s="1"/>
  <c r="A107" i="3"/>
  <c r="O106" i="3"/>
  <c r="N106" i="3"/>
  <c r="M106" i="3"/>
  <c r="K106" i="3"/>
  <c r="J106" i="3"/>
  <c r="I106" i="3"/>
  <c r="H106" i="3"/>
  <c r="G106" i="3"/>
  <c r="F106" i="3"/>
  <c r="E106" i="3"/>
  <c r="D106" i="3"/>
  <c r="C106" i="3"/>
  <c r="B106" i="3"/>
  <c r="L106" i="3" s="1"/>
  <c r="A106" i="3"/>
  <c r="N105" i="3"/>
  <c r="M105" i="3"/>
  <c r="L105" i="3"/>
  <c r="K105" i="3"/>
  <c r="J105" i="3"/>
  <c r="I105" i="3"/>
  <c r="H105" i="3"/>
  <c r="F105" i="3"/>
  <c r="G105" i="3" s="1"/>
  <c r="O105" i="3" s="1"/>
  <c r="E105" i="3"/>
  <c r="D105" i="3"/>
  <c r="C105" i="3"/>
  <c r="B105" i="3"/>
  <c r="A105" i="3"/>
  <c r="M104" i="3"/>
  <c r="L104" i="3"/>
  <c r="K104" i="3"/>
  <c r="N104" i="3" s="1"/>
  <c r="J104" i="3"/>
  <c r="I104" i="3"/>
  <c r="H104" i="3"/>
  <c r="F104" i="3"/>
  <c r="E104" i="3"/>
  <c r="G104" i="3" s="1"/>
  <c r="O104" i="3" s="1"/>
  <c r="D104" i="3"/>
  <c r="C104" i="3"/>
  <c r="B104" i="3"/>
  <c r="A104" i="3"/>
  <c r="K103" i="3"/>
  <c r="N103" i="3" s="1"/>
  <c r="J103" i="3"/>
  <c r="I103" i="3"/>
  <c r="H103" i="3"/>
  <c r="F103" i="3"/>
  <c r="E103" i="3"/>
  <c r="G103" i="3" s="1"/>
  <c r="O103" i="3" s="1"/>
  <c r="D103" i="3"/>
  <c r="C103" i="3"/>
  <c r="B103" i="3"/>
  <c r="M103" i="3" s="1"/>
  <c r="A103" i="3"/>
  <c r="L102" i="3"/>
  <c r="K102" i="3"/>
  <c r="N102" i="3" s="1"/>
  <c r="J102" i="3"/>
  <c r="I102" i="3"/>
  <c r="H102" i="3"/>
  <c r="G102" i="3"/>
  <c r="O102" i="3" s="1"/>
  <c r="F102" i="3"/>
  <c r="E102" i="3"/>
  <c r="D102" i="3"/>
  <c r="C102" i="3"/>
  <c r="B102" i="3"/>
  <c r="M102" i="3" s="1"/>
  <c r="A102" i="3"/>
  <c r="K101" i="3"/>
  <c r="N101" i="3" s="1"/>
  <c r="J101" i="3"/>
  <c r="I101" i="3"/>
  <c r="H101" i="3"/>
  <c r="F101" i="3"/>
  <c r="E101" i="3"/>
  <c r="G101" i="3" s="1"/>
  <c r="O101" i="3" s="1"/>
  <c r="D101" i="3"/>
  <c r="C101" i="3"/>
  <c r="B101" i="3"/>
  <c r="A101" i="3"/>
  <c r="K100" i="3"/>
  <c r="N100" i="3" s="1"/>
  <c r="J100" i="3"/>
  <c r="I100" i="3"/>
  <c r="H100" i="3"/>
  <c r="G100" i="3"/>
  <c r="O100" i="3" s="1"/>
  <c r="F100" i="3"/>
  <c r="E100" i="3"/>
  <c r="D100" i="3"/>
  <c r="C100" i="3"/>
  <c r="B100" i="3"/>
  <c r="M100" i="3" s="1"/>
  <c r="A100" i="3"/>
  <c r="N99" i="3"/>
  <c r="L99" i="3"/>
  <c r="K99" i="3"/>
  <c r="J99" i="3"/>
  <c r="I99" i="3"/>
  <c r="H99" i="3"/>
  <c r="F99" i="3"/>
  <c r="G99" i="3" s="1"/>
  <c r="O99" i="3" s="1"/>
  <c r="E99" i="3"/>
  <c r="D99" i="3"/>
  <c r="C99" i="3"/>
  <c r="B99" i="3"/>
  <c r="M99" i="3" s="1"/>
  <c r="A99" i="3"/>
  <c r="N98" i="3"/>
  <c r="M98" i="3"/>
  <c r="K98" i="3"/>
  <c r="J98" i="3"/>
  <c r="I98" i="3"/>
  <c r="H98" i="3"/>
  <c r="F98" i="3"/>
  <c r="E98" i="3"/>
  <c r="G98" i="3" s="1"/>
  <c r="O98" i="3" s="1"/>
  <c r="D98" i="3"/>
  <c r="C98" i="3"/>
  <c r="B98" i="3"/>
  <c r="L98" i="3" s="1"/>
  <c r="A98" i="3"/>
  <c r="N97" i="3"/>
  <c r="M97" i="3"/>
  <c r="L97" i="3"/>
  <c r="K97" i="3"/>
  <c r="J97" i="3"/>
  <c r="I97" i="3"/>
  <c r="H97" i="3"/>
  <c r="F97" i="3"/>
  <c r="G97" i="3" s="1"/>
  <c r="O97" i="3" s="1"/>
  <c r="E97" i="3"/>
  <c r="D97" i="3"/>
  <c r="C97" i="3"/>
  <c r="B97" i="3"/>
  <c r="A97" i="3"/>
  <c r="M96" i="3"/>
  <c r="L96" i="3"/>
  <c r="K96" i="3"/>
  <c r="N96" i="3" s="1"/>
  <c r="J96" i="3"/>
  <c r="I96" i="3"/>
  <c r="H96" i="3"/>
  <c r="F96" i="3"/>
  <c r="E96" i="3"/>
  <c r="G96" i="3" s="1"/>
  <c r="O96" i="3" s="1"/>
  <c r="D96" i="3"/>
  <c r="C96" i="3"/>
  <c r="B96" i="3"/>
  <c r="A96" i="3"/>
  <c r="K95" i="3"/>
  <c r="N95" i="3" s="1"/>
  <c r="J95" i="3"/>
  <c r="I95" i="3"/>
  <c r="H95" i="3"/>
  <c r="F95" i="3"/>
  <c r="E95" i="3"/>
  <c r="G95" i="3" s="1"/>
  <c r="O95" i="3" s="1"/>
  <c r="D95" i="3"/>
  <c r="C95" i="3"/>
  <c r="B95" i="3"/>
  <c r="M95" i="3" s="1"/>
  <c r="A95" i="3"/>
  <c r="L94" i="3"/>
  <c r="K94" i="3"/>
  <c r="N94" i="3" s="1"/>
  <c r="J94" i="3"/>
  <c r="I94" i="3"/>
  <c r="H94" i="3"/>
  <c r="G94" i="3"/>
  <c r="O94" i="3" s="1"/>
  <c r="F94" i="3"/>
  <c r="E94" i="3"/>
  <c r="D94" i="3"/>
  <c r="C94" i="3"/>
  <c r="B94" i="3"/>
  <c r="M94" i="3" s="1"/>
  <c r="A94" i="3"/>
  <c r="K93" i="3"/>
  <c r="N93" i="3" s="1"/>
  <c r="J93" i="3"/>
  <c r="I93" i="3"/>
  <c r="H93" i="3"/>
  <c r="F93" i="3"/>
  <c r="E93" i="3"/>
  <c r="G93" i="3" s="1"/>
  <c r="O93" i="3" s="1"/>
  <c r="D93" i="3"/>
  <c r="C93" i="3"/>
  <c r="B93" i="3"/>
  <c r="A93" i="3"/>
  <c r="K92" i="3"/>
  <c r="N92" i="3" s="1"/>
  <c r="J92" i="3"/>
  <c r="I92" i="3"/>
  <c r="H92" i="3"/>
  <c r="G92" i="3"/>
  <c r="O92" i="3" s="1"/>
  <c r="F92" i="3"/>
  <c r="E92" i="3"/>
  <c r="D92" i="3"/>
  <c r="C92" i="3"/>
  <c r="B92" i="3"/>
  <c r="A92" i="3"/>
  <c r="N91" i="3"/>
  <c r="L91" i="3"/>
  <c r="K91" i="3"/>
  <c r="J91" i="3"/>
  <c r="I91" i="3"/>
  <c r="H91" i="3"/>
  <c r="F91" i="3"/>
  <c r="G91" i="3" s="1"/>
  <c r="O91" i="3" s="1"/>
  <c r="E91" i="3"/>
  <c r="D91" i="3"/>
  <c r="C91" i="3"/>
  <c r="B91" i="3"/>
  <c r="M91" i="3" s="1"/>
  <c r="A91" i="3"/>
  <c r="N90" i="3"/>
  <c r="M90" i="3"/>
  <c r="K90" i="3"/>
  <c r="J90" i="3"/>
  <c r="I90" i="3"/>
  <c r="H90" i="3"/>
  <c r="F90" i="3"/>
  <c r="E90" i="3"/>
  <c r="G90" i="3" s="1"/>
  <c r="O90" i="3" s="1"/>
  <c r="D90" i="3"/>
  <c r="C90" i="3"/>
  <c r="B90" i="3"/>
  <c r="L90" i="3" s="1"/>
  <c r="A90" i="3"/>
  <c r="N89" i="3"/>
  <c r="M89" i="3"/>
  <c r="L89" i="3"/>
  <c r="K89" i="3"/>
  <c r="J89" i="3"/>
  <c r="I89" i="3"/>
  <c r="H89" i="3"/>
  <c r="F89" i="3"/>
  <c r="E89" i="3"/>
  <c r="G89" i="3" s="1"/>
  <c r="O89" i="3" s="1"/>
  <c r="D89" i="3"/>
  <c r="C89" i="3"/>
  <c r="B89" i="3"/>
  <c r="A89" i="3"/>
  <c r="M88" i="3"/>
  <c r="L88" i="3"/>
  <c r="K88" i="3"/>
  <c r="N88" i="3" s="1"/>
  <c r="J88" i="3"/>
  <c r="I88" i="3"/>
  <c r="H88" i="3"/>
  <c r="F88" i="3"/>
  <c r="E88" i="3"/>
  <c r="D88" i="3"/>
  <c r="C88" i="3"/>
  <c r="B88" i="3"/>
  <c r="A88" i="3"/>
  <c r="K87" i="3"/>
  <c r="N87" i="3" s="1"/>
  <c r="J87" i="3"/>
  <c r="I87" i="3"/>
  <c r="H87" i="3"/>
  <c r="F87" i="3"/>
  <c r="E87" i="3"/>
  <c r="G87" i="3" s="1"/>
  <c r="O87" i="3" s="1"/>
  <c r="D87" i="3"/>
  <c r="C87" i="3"/>
  <c r="B87" i="3"/>
  <c r="L87" i="3" s="1"/>
  <c r="A87" i="3"/>
  <c r="K86" i="3"/>
  <c r="N86" i="3" s="1"/>
  <c r="J86" i="3"/>
  <c r="I86" i="3"/>
  <c r="H86" i="3"/>
  <c r="G86" i="3"/>
  <c r="O86" i="3" s="1"/>
  <c r="F86" i="3"/>
  <c r="E86" i="3"/>
  <c r="D86" i="3"/>
  <c r="C86" i="3"/>
  <c r="B86" i="3"/>
  <c r="M86" i="3" s="1"/>
  <c r="A86" i="3"/>
  <c r="K85" i="3"/>
  <c r="N85" i="3" s="1"/>
  <c r="J85" i="3"/>
  <c r="I85" i="3"/>
  <c r="H85" i="3"/>
  <c r="F85" i="3"/>
  <c r="E85" i="3"/>
  <c r="G85" i="3" s="1"/>
  <c r="O85" i="3" s="1"/>
  <c r="D85" i="3"/>
  <c r="C85" i="3"/>
  <c r="B85" i="3"/>
  <c r="A85" i="3"/>
  <c r="O84" i="3"/>
  <c r="K84" i="3"/>
  <c r="N84" i="3" s="1"/>
  <c r="J84" i="3"/>
  <c r="I84" i="3"/>
  <c r="H84" i="3"/>
  <c r="G84" i="3"/>
  <c r="F84" i="3"/>
  <c r="E84" i="3"/>
  <c r="D84" i="3"/>
  <c r="C84" i="3"/>
  <c r="B84" i="3"/>
  <c r="A84" i="3"/>
  <c r="N83" i="3"/>
  <c r="L83" i="3"/>
  <c r="K83" i="3"/>
  <c r="J83" i="3"/>
  <c r="I83" i="3"/>
  <c r="H83" i="3"/>
  <c r="F83" i="3"/>
  <c r="G83" i="3" s="1"/>
  <c r="O83" i="3" s="1"/>
  <c r="E83" i="3"/>
  <c r="D83" i="3"/>
  <c r="C83" i="3"/>
  <c r="B83" i="3"/>
  <c r="M83" i="3" s="1"/>
  <c r="A83" i="3"/>
  <c r="N82" i="3"/>
  <c r="M82" i="3"/>
  <c r="K82" i="3"/>
  <c r="J82" i="3"/>
  <c r="I82" i="3"/>
  <c r="H82" i="3"/>
  <c r="G82" i="3"/>
  <c r="O82" i="3" s="1"/>
  <c r="F82" i="3"/>
  <c r="E82" i="3"/>
  <c r="D82" i="3"/>
  <c r="C82" i="3"/>
  <c r="B82" i="3"/>
  <c r="L82" i="3" s="1"/>
  <c r="A82" i="3"/>
  <c r="N81" i="3"/>
  <c r="M81" i="3"/>
  <c r="L81" i="3"/>
  <c r="K81" i="3"/>
  <c r="J81" i="3"/>
  <c r="I81" i="3"/>
  <c r="H81" i="3"/>
  <c r="G81" i="3"/>
  <c r="O81" i="3" s="1"/>
  <c r="F81" i="3"/>
  <c r="E81" i="3"/>
  <c r="D81" i="3"/>
  <c r="C81" i="3"/>
  <c r="B81" i="3"/>
  <c r="A81" i="3"/>
  <c r="M80" i="3"/>
  <c r="L80" i="3"/>
  <c r="K80" i="3"/>
  <c r="N80" i="3" s="1"/>
  <c r="J80" i="3"/>
  <c r="I80" i="3"/>
  <c r="H80" i="3"/>
  <c r="F80" i="3"/>
  <c r="E80" i="3"/>
  <c r="D80" i="3"/>
  <c r="C80" i="3"/>
  <c r="B80" i="3"/>
  <c r="A80" i="3"/>
  <c r="K79" i="3"/>
  <c r="N79" i="3" s="1"/>
  <c r="J79" i="3"/>
  <c r="I79" i="3"/>
  <c r="H79" i="3"/>
  <c r="F79" i="3"/>
  <c r="E79" i="3"/>
  <c r="G79" i="3" s="1"/>
  <c r="O79" i="3" s="1"/>
  <c r="D79" i="3"/>
  <c r="C79" i="3"/>
  <c r="B79" i="3"/>
  <c r="M79" i="3" s="1"/>
  <c r="A79" i="3"/>
  <c r="L78" i="3"/>
  <c r="K78" i="3"/>
  <c r="N78" i="3" s="1"/>
  <c r="J78" i="3"/>
  <c r="I78" i="3"/>
  <c r="H78" i="3"/>
  <c r="G78" i="3"/>
  <c r="O78" i="3" s="1"/>
  <c r="F78" i="3"/>
  <c r="E78" i="3"/>
  <c r="D78" i="3"/>
  <c r="C78" i="3"/>
  <c r="B78" i="3"/>
  <c r="M78" i="3" s="1"/>
  <c r="A78" i="3"/>
  <c r="K77" i="3"/>
  <c r="N77" i="3" s="1"/>
  <c r="J77" i="3"/>
  <c r="I77" i="3"/>
  <c r="H77" i="3"/>
  <c r="F77" i="3"/>
  <c r="E77" i="3"/>
  <c r="G77" i="3" s="1"/>
  <c r="O77" i="3" s="1"/>
  <c r="D77" i="3"/>
  <c r="C77" i="3"/>
  <c r="B77" i="3"/>
  <c r="A77" i="3"/>
  <c r="O76" i="3"/>
  <c r="K76" i="3"/>
  <c r="N76" i="3" s="1"/>
  <c r="J76" i="3"/>
  <c r="I76" i="3"/>
  <c r="H76" i="3"/>
  <c r="G76" i="3"/>
  <c r="F76" i="3"/>
  <c r="E76" i="3"/>
  <c r="D76" i="3"/>
  <c r="C76" i="3"/>
  <c r="B76" i="3"/>
  <c r="A76" i="3"/>
  <c r="N75" i="3"/>
  <c r="L75" i="3"/>
  <c r="K75" i="3"/>
  <c r="J75" i="3"/>
  <c r="I75" i="3"/>
  <c r="H75" i="3"/>
  <c r="G75" i="3"/>
  <c r="O75" i="3" s="1"/>
  <c r="F75" i="3"/>
  <c r="E75" i="3"/>
  <c r="D75" i="3"/>
  <c r="C75" i="3"/>
  <c r="B75" i="3"/>
  <c r="M75" i="3" s="1"/>
  <c r="A75" i="3"/>
  <c r="N74" i="3"/>
  <c r="M74" i="3"/>
  <c r="K74" i="3"/>
  <c r="J74" i="3"/>
  <c r="I74" i="3"/>
  <c r="H74" i="3"/>
  <c r="F74" i="3"/>
  <c r="E74" i="3"/>
  <c r="G74" i="3" s="1"/>
  <c r="O74" i="3" s="1"/>
  <c r="D74" i="3"/>
  <c r="C74" i="3"/>
  <c r="B74" i="3"/>
  <c r="L74" i="3" s="1"/>
  <c r="A74" i="3"/>
  <c r="N73" i="3"/>
  <c r="M73" i="3"/>
  <c r="L73" i="3"/>
  <c r="K73" i="3"/>
  <c r="J73" i="3"/>
  <c r="I73" i="3"/>
  <c r="H73" i="3"/>
  <c r="F73" i="3"/>
  <c r="E73" i="3"/>
  <c r="G73" i="3" s="1"/>
  <c r="O73" i="3" s="1"/>
  <c r="D73" i="3"/>
  <c r="C73" i="3"/>
  <c r="B73" i="3"/>
  <c r="A73" i="3"/>
  <c r="M72" i="3"/>
  <c r="L72" i="3"/>
  <c r="K72" i="3"/>
  <c r="N72" i="3" s="1"/>
  <c r="J72" i="3"/>
  <c r="I72" i="3"/>
  <c r="H72" i="3"/>
  <c r="F72" i="3"/>
  <c r="E72" i="3"/>
  <c r="D72" i="3"/>
  <c r="C72" i="3"/>
  <c r="B72" i="3"/>
  <c r="A72" i="3"/>
  <c r="K71" i="3"/>
  <c r="N71" i="3" s="1"/>
  <c r="J71" i="3"/>
  <c r="I71" i="3"/>
  <c r="H71" i="3"/>
  <c r="F71" i="3"/>
  <c r="E71" i="3"/>
  <c r="G71" i="3" s="1"/>
  <c r="O71" i="3" s="1"/>
  <c r="D71" i="3"/>
  <c r="C71" i="3"/>
  <c r="B71" i="3"/>
  <c r="M71" i="3" s="1"/>
  <c r="A71" i="3"/>
  <c r="K70" i="3"/>
  <c r="N70" i="3" s="1"/>
  <c r="J70" i="3"/>
  <c r="I70" i="3"/>
  <c r="H70" i="3"/>
  <c r="G70" i="3"/>
  <c r="O70" i="3" s="1"/>
  <c r="F70" i="3"/>
  <c r="E70" i="3"/>
  <c r="D70" i="3"/>
  <c r="C70" i="3"/>
  <c r="B70" i="3"/>
  <c r="M70" i="3" s="1"/>
  <c r="A70" i="3"/>
  <c r="K69" i="3"/>
  <c r="N69" i="3" s="1"/>
  <c r="J69" i="3"/>
  <c r="I69" i="3"/>
  <c r="H69" i="3"/>
  <c r="F69" i="3"/>
  <c r="E69" i="3"/>
  <c r="D69" i="3"/>
  <c r="C69" i="3"/>
  <c r="B69" i="3"/>
  <c r="A69" i="3"/>
  <c r="K68" i="3"/>
  <c r="N68" i="3" s="1"/>
  <c r="J68" i="3"/>
  <c r="I68" i="3"/>
  <c r="H68" i="3"/>
  <c r="G68" i="3"/>
  <c r="O68" i="3" s="1"/>
  <c r="F68" i="3"/>
  <c r="E68" i="3"/>
  <c r="D68" i="3"/>
  <c r="C68" i="3"/>
  <c r="B68" i="3"/>
  <c r="L68" i="3" s="1"/>
  <c r="A68" i="3"/>
  <c r="N67" i="3"/>
  <c r="L67" i="3"/>
  <c r="K67" i="3"/>
  <c r="J67" i="3"/>
  <c r="I67" i="3"/>
  <c r="H67" i="3"/>
  <c r="G67" i="3"/>
  <c r="O67" i="3" s="1"/>
  <c r="F67" i="3"/>
  <c r="E67" i="3"/>
  <c r="D67" i="3"/>
  <c r="C67" i="3"/>
  <c r="B67" i="3"/>
  <c r="M67" i="3" s="1"/>
  <c r="A67" i="3"/>
  <c r="M66" i="3"/>
  <c r="K66" i="3"/>
  <c r="N66" i="3" s="1"/>
  <c r="J66" i="3"/>
  <c r="I66" i="3"/>
  <c r="H66" i="3"/>
  <c r="F66" i="3"/>
  <c r="G66" i="3" s="1"/>
  <c r="O66" i="3" s="1"/>
  <c r="E66" i="3"/>
  <c r="D66" i="3"/>
  <c r="C66" i="3"/>
  <c r="B66" i="3"/>
  <c r="L66" i="3" s="1"/>
  <c r="A66" i="3"/>
  <c r="N65" i="3"/>
  <c r="M65" i="3"/>
  <c r="K65" i="3"/>
  <c r="J65" i="3"/>
  <c r="I65" i="3"/>
  <c r="H65" i="3"/>
  <c r="F65" i="3"/>
  <c r="E65" i="3"/>
  <c r="G65" i="3" s="1"/>
  <c r="D65" i="3"/>
  <c r="C65" i="3"/>
  <c r="B65" i="3"/>
  <c r="L65" i="3" s="1"/>
  <c r="A65" i="3"/>
  <c r="M64" i="3"/>
  <c r="L64" i="3"/>
  <c r="K64" i="3"/>
  <c r="N64" i="3" s="1"/>
  <c r="J64" i="3"/>
  <c r="I64" i="3"/>
  <c r="H64" i="3"/>
  <c r="F64" i="3"/>
  <c r="E64" i="3"/>
  <c r="D64" i="3"/>
  <c r="C64" i="3"/>
  <c r="B64" i="3"/>
  <c r="A64" i="3"/>
  <c r="K63" i="3"/>
  <c r="N63" i="3" s="1"/>
  <c r="J63" i="3"/>
  <c r="I63" i="3"/>
  <c r="H63" i="3"/>
  <c r="F63" i="3"/>
  <c r="E63" i="3"/>
  <c r="G63" i="3" s="1"/>
  <c r="O63" i="3" s="1"/>
  <c r="D63" i="3"/>
  <c r="C63" i="3"/>
  <c r="B63" i="3"/>
  <c r="M63" i="3" s="1"/>
  <c r="A63" i="3"/>
  <c r="L62" i="3"/>
  <c r="K62" i="3"/>
  <c r="N62" i="3" s="1"/>
  <c r="J62" i="3"/>
  <c r="I62" i="3"/>
  <c r="H62" i="3"/>
  <c r="G62" i="3"/>
  <c r="O62" i="3" s="1"/>
  <c r="F62" i="3"/>
  <c r="E62" i="3"/>
  <c r="D62" i="3"/>
  <c r="C62" i="3"/>
  <c r="B62" i="3"/>
  <c r="M62" i="3" s="1"/>
  <c r="A62" i="3"/>
  <c r="K61" i="3"/>
  <c r="N61" i="3" s="1"/>
  <c r="J61" i="3"/>
  <c r="I61" i="3"/>
  <c r="H61" i="3"/>
  <c r="F61" i="3"/>
  <c r="E61" i="3"/>
  <c r="D61" i="3"/>
  <c r="C61" i="3"/>
  <c r="B61" i="3"/>
  <c r="A61" i="3"/>
  <c r="M60" i="3"/>
  <c r="K60" i="3"/>
  <c r="N60" i="3" s="1"/>
  <c r="J60" i="3"/>
  <c r="I60" i="3"/>
  <c r="H60" i="3"/>
  <c r="G60" i="3"/>
  <c r="O60" i="3" s="1"/>
  <c r="F60" i="3"/>
  <c r="E60" i="3"/>
  <c r="D60" i="3"/>
  <c r="C60" i="3"/>
  <c r="B60" i="3"/>
  <c r="L60" i="3" s="1"/>
  <c r="A60" i="3"/>
  <c r="N59" i="3"/>
  <c r="L59" i="3"/>
  <c r="K59" i="3"/>
  <c r="J59" i="3"/>
  <c r="I59" i="3"/>
  <c r="H59" i="3"/>
  <c r="F59" i="3"/>
  <c r="G59" i="3" s="1"/>
  <c r="O59" i="3" s="1"/>
  <c r="E59" i="3"/>
  <c r="D59" i="3"/>
  <c r="C59" i="3"/>
  <c r="B59" i="3"/>
  <c r="M59" i="3" s="1"/>
  <c r="A59" i="3"/>
  <c r="M58" i="3"/>
  <c r="K58" i="3"/>
  <c r="N58" i="3" s="1"/>
  <c r="J58" i="3"/>
  <c r="I58" i="3"/>
  <c r="H58" i="3"/>
  <c r="G58" i="3"/>
  <c r="O58" i="3" s="1"/>
  <c r="F58" i="3"/>
  <c r="E58" i="3"/>
  <c r="D58" i="3"/>
  <c r="C58" i="3"/>
  <c r="B58" i="3"/>
  <c r="L58" i="3" s="1"/>
  <c r="A58" i="3"/>
  <c r="N57" i="3"/>
  <c r="M57" i="3"/>
  <c r="K57" i="3"/>
  <c r="J57" i="3"/>
  <c r="I57" i="3"/>
  <c r="H57" i="3"/>
  <c r="G57" i="3"/>
  <c r="O57" i="3" s="1"/>
  <c r="F57" i="3"/>
  <c r="E57" i="3"/>
  <c r="D57" i="3"/>
  <c r="C57" i="3"/>
  <c r="B57" i="3"/>
  <c r="L57" i="3" s="1"/>
  <c r="A57" i="3"/>
  <c r="M56" i="3"/>
  <c r="L56" i="3"/>
  <c r="K56" i="3"/>
  <c r="N56" i="3" s="1"/>
  <c r="J56" i="3"/>
  <c r="I56" i="3"/>
  <c r="H56" i="3"/>
  <c r="F56" i="3"/>
  <c r="E56" i="3"/>
  <c r="D56" i="3"/>
  <c r="C56" i="3"/>
  <c r="B56" i="3"/>
  <c r="A56" i="3"/>
  <c r="K55" i="3"/>
  <c r="N55" i="3" s="1"/>
  <c r="J55" i="3"/>
  <c r="I55" i="3"/>
  <c r="H55" i="3"/>
  <c r="F55" i="3"/>
  <c r="E55" i="3"/>
  <c r="G55" i="3" s="1"/>
  <c r="O55" i="3" s="1"/>
  <c r="D55" i="3"/>
  <c r="C55" i="3"/>
  <c r="B55" i="3"/>
  <c r="M55" i="3" s="1"/>
  <c r="A55" i="3"/>
  <c r="K54" i="3"/>
  <c r="N54" i="3" s="1"/>
  <c r="J54" i="3"/>
  <c r="I54" i="3"/>
  <c r="H54" i="3"/>
  <c r="G54" i="3"/>
  <c r="O54" i="3" s="1"/>
  <c r="F54" i="3"/>
  <c r="E54" i="3"/>
  <c r="D54" i="3"/>
  <c r="C54" i="3"/>
  <c r="B54" i="3"/>
  <c r="M54" i="3" s="1"/>
  <c r="A54" i="3"/>
  <c r="N53" i="3"/>
  <c r="M53" i="3"/>
  <c r="K53" i="3"/>
  <c r="J53" i="3"/>
  <c r="I53" i="3"/>
  <c r="H53" i="3"/>
  <c r="F53" i="3"/>
  <c r="E53" i="3"/>
  <c r="D53" i="3"/>
  <c r="C53" i="3"/>
  <c r="B53" i="3"/>
  <c r="L53" i="3" s="1"/>
  <c r="A53" i="3"/>
  <c r="K52" i="3"/>
  <c r="N52" i="3" s="1"/>
  <c r="J52" i="3"/>
  <c r="I52" i="3"/>
  <c r="H52" i="3"/>
  <c r="F52" i="3"/>
  <c r="E52" i="3"/>
  <c r="G52" i="3" s="1"/>
  <c r="D52" i="3"/>
  <c r="C52" i="3"/>
  <c r="B52" i="3"/>
  <c r="M52" i="3" s="1"/>
  <c r="A52" i="3"/>
  <c r="L51" i="3"/>
  <c r="K51" i="3"/>
  <c r="N51" i="3" s="1"/>
  <c r="J51" i="3"/>
  <c r="I51" i="3"/>
  <c r="H51" i="3"/>
  <c r="G51" i="3"/>
  <c r="O51" i="3" s="1"/>
  <c r="F51" i="3"/>
  <c r="E51" i="3"/>
  <c r="D51" i="3"/>
  <c r="C51" i="3"/>
  <c r="B51" i="3"/>
  <c r="M51" i="3" s="1"/>
  <c r="A51" i="3"/>
  <c r="N50" i="3"/>
  <c r="M50" i="3"/>
  <c r="K50" i="3"/>
  <c r="J50" i="3"/>
  <c r="I50" i="3"/>
  <c r="H50" i="3"/>
  <c r="F50" i="3"/>
  <c r="E50" i="3"/>
  <c r="G50" i="3" s="1"/>
  <c r="O50" i="3" s="1"/>
  <c r="D50" i="3"/>
  <c r="C50" i="3"/>
  <c r="B50" i="3"/>
  <c r="L50" i="3" s="1"/>
  <c r="A50" i="3"/>
  <c r="N49" i="3"/>
  <c r="M49" i="3"/>
  <c r="L49" i="3"/>
  <c r="K49" i="3"/>
  <c r="J49" i="3"/>
  <c r="I49" i="3"/>
  <c r="H49" i="3"/>
  <c r="F49" i="3"/>
  <c r="E49" i="3"/>
  <c r="G49" i="3" s="1"/>
  <c r="D49" i="3"/>
  <c r="C49" i="3"/>
  <c r="B49" i="3"/>
  <c r="A49" i="3"/>
  <c r="M48" i="3"/>
  <c r="L48" i="3"/>
  <c r="K48" i="3"/>
  <c r="N48" i="3" s="1"/>
  <c r="J48" i="3"/>
  <c r="I48" i="3"/>
  <c r="H48" i="3"/>
  <c r="F48" i="3"/>
  <c r="E48" i="3"/>
  <c r="D48" i="3"/>
  <c r="C48" i="3"/>
  <c r="B48" i="3"/>
  <c r="A48" i="3"/>
  <c r="L47" i="3"/>
  <c r="K47" i="3"/>
  <c r="N47" i="3" s="1"/>
  <c r="J47" i="3"/>
  <c r="I47" i="3"/>
  <c r="H47" i="3"/>
  <c r="G47" i="3"/>
  <c r="O47" i="3" s="1"/>
  <c r="F47" i="3"/>
  <c r="E47" i="3"/>
  <c r="D47" i="3"/>
  <c r="C47" i="3"/>
  <c r="B47" i="3"/>
  <c r="M47" i="3" s="1"/>
  <c r="A47" i="3"/>
  <c r="N46" i="3"/>
  <c r="K46" i="3"/>
  <c r="J46" i="3"/>
  <c r="I46" i="3"/>
  <c r="H46" i="3"/>
  <c r="F46" i="3"/>
  <c r="G46" i="3" s="1"/>
  <c r="E46" i="3"/>
  <c r="D46" i="3"/>
  <c r="C46" i="3"/>
  <c r="B46" i="3"/>
  <c r="M46" i="3" s="1"/>
  <c r="A46" i="3"/>
  <c r="K45" i="3"/>
  <c r="N45" i="3" s="1"/>
  <c r="J45" i="3"/>
  <c r="I45" i="3"/>
  <c r="H45" i="3"/>
  <c r="F45" i="3"/>
  <c r="E45" i="3"/>
  <c r="D45" i="3"/>
  <c r="C45" i="3"/>
  <c r="B45" i="3"/>
  <c r="L45" i="3" s="1"/>
  <c r="A45" i="3"/>
  <c r="L44" i="3"/>
  <c r="K44" i="3"/>
  <c r="N44" i="3" s="1"/>
  <c r="J44" i="3"/>
  <c r="I44" i="3"/>
  <c r="H44" i="3"/>
  <c r="G44" i="3"/>
  <c r="O44" i="3" s="1"/>
  <c r="F44" i="3"/>
  <c r="E44" i="3"/>
  <c r="D44" i="3"/>
  <c r="C44" i="3"/>
  <c r="B44" i="3"/>
  <c r="M44" i="3" s="1"/>
  <c r="A44" i="3"/>
  <c r="N43" i="3"/>
  <c r="L43" i="3"/>
  <c r="K43" i="3"/>
  <c r="J43" i="3"/>
  <c r="I43" i="3"/>
  <c r="H43" i="3"/>
  <c r="F43" i="3"/>
  <c r="G43" i="3" s="1"/>
  <c r="E43" i="3"/>
  <c r="D43" i="3"/>
  <c r="C43" i="3"/>
  <c r="B43" i="3"/>
  <c r="M43" i="3" s="1"/>
  <c r="A43" i="3"/>
  <c r="M42" i="3"/>
  <c r="K42" i="3"/>
  <c r="N42" i="3" s="1"/>
  <c r="J42" i="3"/>
  <c r="I42" i="3"/>
  <c r="H42" i="3"/>
  <c r="F42" i="3"/>
  <c r="G42" i="3" s="1"/>
  <c r="E42" i="3"/>
  <c r="D42" i="3"/>
  <c r="C42" i="3"/>
  <c r="B42" i="3"/>
  <c r="L42" i="3" s="1"/>
  <c r="A42" i="3"/>
  <c r="N41" i="3"/>
  <c r="K41" i="3"/>
  <c r="J41" i="3"/>
  <c r="I41" i="3"/>
  <c r="H41" i="3"/>
  <c r="G41" i="3"/>
  <c r="O41" i="3" s="1"/>
  <c r="F41" i="3"/>
  <c r="E41" i="3"/>
  <c r="D41" i="3"/>
  <c r="C41" i="3"/>
  <c r="B41" i="3"/>
  <c r="L41" i="3" s="1"/>
  <c r="A41" i="3"/>
  <c r="M40" i="3"/>
  <c r="L40" i="3"/>
  <c r="K40" i="3"/>
  <c r="N40" i="3" s="1"/>
  <c r="J40" i="3"/>
  <c r="I40" i="3"/>
  <c r="H40" i="3"/>
  <c r="F40" i="3"/>
  <c r="E40" i="3"/>
  <c r="D40" i="3"/>
  <c r="C40" i="3"/>
  <c r="B40" i="3"/>
  <c r="A40" i="3"/>
  <c r="K39" i="3"/>
  <c r="N39" i="3" s="1"/>
  <c r="J39" i="3"/>
  <c r="I39" i="3"/>
  <c r="H39" i="3"/>
  <c r="F39" i="3"/>
  <c r="E39" i="3"/>
  <c r="G39" i="3" s="1"/>
  <c r="O39" i="3" s="1"/>
  <c r="D39" i="3"/>
  <c r="C39" i="3"/>
  <c r="B39" i="3"/>
  <c r="M39" i="3" s="1"/>
  <c r="A39" i="3"/>
  <c r="L38" i="3"/>
  <c r="K38" i="3"/>
  <c r="N38" i="3" s="1"/>
  <c r="J38" i="3"/>
  <c r="I38" i="3"/>
  <c r="H38" i="3"/>
  <c r="G38" i="3"/>
  <c r="O38" i="3" s="1"/>
  <c r="F38" i="3"/>
  <c r="E38" i="3"/>
  <c r="D38" i="3"/>
  <c r="C38" i="3"/>
  <c r="B38" i="3"/>
  <c r="M38" i="3" s="1"/>
  <c r="A38" i="3"/>
  <c r="N37" i="3"/>
  <c r="K37" i="3"/>
  <c r="J37" i="3"/>
  <c r="I37" i="3"/>
  <c r="H37" i="3"/>
  <c r="F37" i="3"/>
  <c r="E37" i="3"/>
  <c r="D37" i="3"/>
  <c r="C37" i="3"/>
  <c r="B37" i="3"/>
  <c r="L37" i="3" s="1"/>
  <c r="A37" i="3"/>
  <c r="M36" i="3"/>
  <c r="K36" i="3"/>
  <c r="N36" i="3" s="1"/>
  <c r="J36" i="3"/>
  <c r="I36" i="3"/>
  <c r="H36" i="3"/>
  <c r="F36" i="3"/>
  <c r="E36" i="3"/>
  <c r="G36" i="3" s="1"/>
  <c r="O36" i="3" s="1"/>
  <c r="D36" i="3"/>
  <c r="C36" i="3"/>
  <c r="B36" i="3"/>
  <c r="L36" i="3" s="1"/>
  <c r="A36" i="3"/>
  <c r="L35" i="3"/>
  <c r="K35" i="3"/>
  <c r="N35" i="3" s="1"/>
  <c r="J35" i="3"/>
  <c r="I35" i="3"/>
  <c r="H35" i="3"/>
  <c r="F35" i="3"/>
  <c r="G35" i="3" s="1"/>
  <c r="O35" i="3" s="1"/>
  <c r="E35" i="3"/>
  <c r="D35" i="3"/>
  <c r="C35" i="3"/>
  <c r="B35" i="3"/>
  <c r="M35" i="3" s="1"/>
  <c r="A35" i="3"/>
  <c r="N34" i="3"/>
  <c r="K34" i="3"/>
  <c r="J34" i="3"/>
  <c r="I34" i="3"/>
  <c r="H34" i="3"/>
  <c r="F34" i="3"/>
  <c r="E34" i="3"/>
  <c r="G34" i="3" s="1"/>
  <c r="O34" i="3" s="1"/>
  <c r="D34" i="3"/>
  <c r="C34" i="3"/>
  <c r="B34" i="3"/>
  <c r="L34" i="3" s="1"/>
  <c r="A34" i="3"/>
  <c r="N33" i="3"/>
  <c r="M33" i="3"/>
  <c r="L33" i="3"/>
  <c r="K33" i="3"/>
  <c r="J33" i="3"/>
  <c r="I33" i="3"/>
  <c r="H33" i="3"/>
  <c r="F33" i="3"/>
  <c r="E33" i="3"/>
  <c r="G33" i="3" s="1"/>
  <c r="O33" i="3" s="1"/>
  <c r="D33" i="3"/>
  <c r="C33" i="3"/>
  <c r="B33" i="3"/>
  <c r="A33" i="3"/>
  <c r="N32" i="3"/>
  <c r="M32" i="3"/>
  <c r="L32" i="3"/>
  <c r="K32" i="3"/>
  <c r="J32" i="3"/>
  <c r="I32" i="3"/>
  <c r="H32" i="3"/>
  <c r="F32" i="3"/>
  <c r="E32" i="3"/>
  <c r="D32" i="3"/>
  <c r="C32" i="3"/>
  <c r="B32" i="3"/>
  <c r="A32" i="3"/>
  <c r="L31" i="3"/>
  <c r="K31" i="3"/>
  <c r="N31" i="3" s="1"/>
  <c r="J31" i="3"/>
  <c r="I31" i="3"/>
  <c r="H31" i="3"/>
  <c r="G31" i="3"/>
  <c r="O31" i="3" s="1"/>
  <c r="F31" i="3"/>
  <c r="E31" i="3"/>
  <c r="D31" i="3"/>
  <c r="C31" i="3"/>
  <c r="B31" i="3"/>
  <c r="M31" i="3" s="1"/>
  <c r="A31" i="3"/>
  <c r="N30" i="3"/>
  <c r="K30" i="3"/>
  <c r="J30" i="3"/>
  <c r="I30" i="3"/>
  <c r="H30" i="3"/>
  <c r="F30" i="3"/>
  <c r="G30" i="3" s="1"/>
  <c r="O30" i="3" s="1"/>
  <c r="E30" i="3"/>
  <c r="D30" i="3"/>
  <c r="C30" i="3"/>
  <c r="B30" i="3"/>
  <c r="M30" i="3" s="1"/>
  <c r="A30" i="3"/>
  <c r="K29" i="3"/>
  <c r="N29" i="3" s="1"/>
  <c r="J29" i="3"/>
  <c r="I29" i="3"/>
  <c r="H29" i="3"/>
  <c r="F29" i="3"/>
  <c r="E29" i="3"/>
  <c r="D29" i="3"/>
  <c r="C29" i="3"/>
  <c r="B29" i="3"/>
  <c r="L29" i="3" s="1"/>
  <c r="A29" i="3"/>
  <c r="L28" i="3"/>
  <c r="K28" i="3"/>
  <c r="N28" i="3" s="1"/>
  <c r="J28" i="3"/>
  <c r="I28" i="3"/>
  <c r="H28" i="3"/>
  <c r="G28" i="3"/>
  <c r="O28" i="3" s="1"/>
  <c r="F28" i="3"/>
  <c r="E28" i="3"/>
  <c r="D28" i="3"/>
  <c r="C28" i="3"/>
  <c r="B28" i="3"/>
  <c r="M28" i="3" s="1"/>
  <c r="A28" i="3"/>
  <c r="N27" i="3"/>
  <c r="K27" i="3"/>
  <c r="J27" i="3"/>
  <c r="I27" i="3"/>
  <c r="H27" i="3"/>
  <c r="F27" i="3"/>
  <c r="G27" i="3" s="1"/>
  <c r="O27" i="3" s="1"/>
  <c r="E27" i="3"/>
  <c r="D27" i="3"/>
  <c r="C27" i="3"/>
  <c r="B27" i="3"/>
  <c r="M27" i="3" s="1"/>
  <c r="A27" i="3"/>
  <c r="M26" i="3"/>
  <c r="K26" i="3"/>
  <c r="N26" i="3" s="1"/>
  <c r="J26" i="3"/>
  <c r="I26" i="3"/>
  <c r="H26" i="3"/>
  <c r="G26" i="3"/>
  <c r="O26" i="3" s="1"/>
  <c r="F26" i="3"/>
  <c r="E26" i="3"/>
  <c r="D26" i="3"/>
  <c r="C26" i="3"/>
  <c r="B26" i="3"/>
  <c r="L26" i="3" s="1"/>
  <c r="A26" i="3"/>
  <c r="N25" i="3"/>
  <c r="M25" i="3"/>
  <c r="K25" i="3"/>
  <c r="J25" i="3"/>
  <c r="I25" i="3"/>
  <c r="H25" i="3"/>
  <c r="G25" i="3"/>
  <c r="O25" i="3" s="1"/>
  <c r="F25" i="3"/>
  <c r="E25" i="3"/>
  <c r="D25" i="3"/>
  <c r="C25" i="3"/>
  <c r="B25" i="3"/>
  <c r="L25" i="3" s="1"/>
  <c r="A25" i="3"/>
  <c r="N24" i="3"/>
  <c r="M24" i="3"/>
  <c r="L24" i="3"/>
  <c r="K24" i="3"/>
  <c r="J24" i="3"/>
  <c r="I24" i="3"/>
  <c r="H24" i="3"/>
  <c r="F24" i="3"/>
  <c r="E24" i="3"/>
  <c r="G24" i="3" s="1"/>
  <c r="D24" i="3"/>
  <c r="C24" i="3"/>
  <c r="B24" i="3"/>
  <c r="A24" i="3"/>
  <c r="M23" i="3"/>
  <c r="L23" i="3"/>
  <c r="K23" i="3"/>
  <c r="N23" i="3" s="1"/>
  <c r="J23" i="3"/>
  <c r="I23" i="3"/>
  <c r="H23" i="3"/>
  <c r="F23" i="3"/>
  <c r="E23" i="3"/>
  <c r="G23" i="3" s="1"/>
  <c r="D23" i="3"/>
  <c r="C23" i="3"/>
  <c r="B23" i="3"/>
  <c r="A23" i="3"/>
  <c r="L22" i="3"/>
  <c r="K22" i="3"/>
  <c r="N22" i="3" s="1"/>
  <c r="J22" i="3"/>
  <c r="I22" i="3"/>
  <c r="H22" i="3"/>
  <c r="F22" i="3"/>
  <c r="G22" i="3" s="1"/>
  <c r="E22" i="3"/>
  <c r="D22" i="3"/>
  <c r="C22" i="3"/>
  <c r="B22" i="3"/>
  <c r="M22" i="3" s="1"/>
  <c r="A22" i="3"/>
  <c r="N21" i="3"/>
  <c r="M21" i="3"/>
  <c r="L21" i="3"/>
  <c r="K21" i="3"/>
  <c r="J21" i="3"/>
  <c r="I21" i="3"/>
  <c r="H21" i="3"/>
  <c r="F21" i="3"/>
  <c r="E21" i="3"/>
  <c r="G21" i="3" s="1"/>
  <c r="O21" i="3" s="1"/>
  <c r="D21" i="3"/>
  <c r="C21" i="3"/>
  <c r="B21" i="3"/>
  <c r="A21" i="3"/>
  <c r="M20" i="3"/>
  <c r="K20" i="3"/>
  <c r="N20" i="3" s="1"/>
  <c r="J20" i="3"/>
  <c r="I20" i="3"/>
  <c r="H20" i="3"/>
  <c r="G20" i="3"/>
  <c r="O20" i="3" s="1"/>
  <c r="F20" i="3"/>
  <c r="E20" i="3"/>
  <c r="D20" i="3"/>
  <c r="C20" i="3"/>
  <c r="B20" i="3"/>
  <c r="L20" i="3" s="1"/>
  <c r="A20" i="3"/>
  <c r="N19" i="3"/>
  <c r="L19" i="3"/>
  <c r="K19" i="3"/>
  <c r="J19" i="3"/>
  <c r="I19" i="3"/>
  <c r="H19" i="3"/>
  <c r="G19" i="3"/>
  <c r="O19" i="3" s="1"/>
  <c r="F19" i="3"/>
  <c r="E19" i="3"/>
  <c r="D19" i="3"/>
  <c r="C19" i="3"/>
  <c r="B19" i="3"/>
  <c r="M19" i="3" s="1"/>
  <c r="A19" i="3"/>
  <c r="K18" i="3"/>
  <c r="N18" i="3" s="1"/>
  <c r="J18" i="3"/>
  <c r="I18" i="3"/>
  <c r="H18" i="3"/>
  <c r="G18" i="3"/>
  <c r="O18" i="3" s="1"/>
  <c r="F18" i="3"/>
  <c r="E18" i="3"/>
  <c r="D18" i="3"/>
  <c r="C18" i="3"/>
  <c r="B18" i="3"/>
  <c r="L18" i="3" s="1"/>
  <c r="A18" i="3"/>
  <c r="N17" i="3"/>
  <c r="K17" i="3"/>
  <c r="J17" i="3"/>
  <c r="I17" i="3"/>
  <c r="H17" i="3"/>
  <c r="F17" i="3"/>
  <c r="E17" i="3"/>
  <c r="G17" i="3" s="1"/>
  <c r="D17" i="3"/>
  <c r="C17" i="3"/>
  <c r="B17" i="3"/>
  <c r="M17" i="3" s="1"/>
  <c r="A17" i="3"/>
  <c r="M16" i="3"/>
  <c r="L16" i="3"/>
  <c r="K16" i="3"/>
  <c r="N16" i="3" s="1"/>
  <c r="J16" i="3"/>
  <c r="I16" i="3"/>
  <c r="H16" i="3"/>
  <c r="F16" i="3"/>
  <c r="E16" i="3"/>
  <c r="G16" i="3" s="1"/>
  <c r="D16" i="3"/>
  <c r="C16" i="3"/>
  <c r="B16" i="3"/>
  <c r="A16" i="3"/>
  <c r="N15" i="3"/>
  <c r="L15" i="3"/>
  <c r="K15" i="3"/>
  <c r="J15" i="3"/>
  <c r="I15" i="3"/>
  <c r="H15" i="3"/>
  <c r="G15" i="3"/>
  <c r="O15" i="3" s="1"/>
  <c r="F15" i="3"/>
  <c r="E15" i="3"/>
  <c r="D15" i="3"/>
  <c r="C15" i="3"/>
  <c r="B15" i="3"/>
  <c r="M15" i="3" s="1"/>
  <c r="A15" i="3"/>
  <c r="N14" i="3"/>
  <c r="M14" i="3"/>
  <c r="K14" i="3"/>
  <c r="J14" i="3"/>
  <c r="I14" i="3"/>
  <c r="H14" i="3"/>
  <c r="G14" i="3"/>
  <c r="O14" i="3" s="1"/>
  <c r="F14" i="3"/>
  <c r="E14" i="3"/>
  <c r="D14" i="3"/>
  <c r="C14" i="3"/>
  <c r="B14" i="3"/>
  <c r="L14" i="3" s="1"/>
  <c r="A14" i="3"/>
  <c r="N13" i="3"/>
  <c r="M13" i="3"/>
  <c r="K13" i="3"/>
  <c r="J13" i="3"/>
  <c r="I13" i="3"/>
  <c r="H13" i="3"/>
  <c r="F13" i="3"/>
  <c r="E13" i="3"/>
  <c r="G13" i="3" s="1"/>
  <c r="O13" i="3" s="1"/>
  <c r="D13" i="3"/>
  <c r="C13" i="3"/>
  <c r="B13" i="3"/>
  <c r="L13" i="3" s="1"/>
  <c r="A13" i="3"/>
  <c r="M12" i="3"/>
  <c r="L12" i="3"/>
  <c r="K12" i="3"/>
  <c r="N12" i="3" s="1"/>
  <c r="J12" i="3"/>
  <c r="I12" i="3"/>
  <c r="H12" i="3"/>
  <c r="F12" i="3"/>
  <c r="E12" i="3"/>
  <c r="G12" i="3" s="1"/>
  <c r="D12" i="3"/>
  <c r="C12" i="3"/>
  <c r="B12" i="3"/>
  <c r="A12" i="3"/>
  <c r="L11" i="3"/>
  <c r="K11" i="3"/>
  <c r="N11" i="3" s="1"/>
  <c r="J11" i="3"/>
  <c r="I11" i="3"/>
  <c r="H11" i="3"/>
  <c r="G11" i="3"/>
  <c r="O11" i="3" s="1"/>
  <c r="F11" i="3"/>
  <c r="E11" i="3"/>
  <c r="D11" i="3"/>
  <c r="C11" i="3"/>
  <c r="B11" i="3"/>
  <c r="M11" i="3" s="1"/>
  <c r="A11" i="3"/>
  <c r="K10" i="3"/>
  <c r="N10" i="3" s="1"/>
  <c r="J10" i="3"/>
  <c r="I10" i="3"/>
  <c r="H10" i="3"/>
  <c r="G10" i="3"/>
  <c r="O10" i="3" s="1"/>
  <c r="F10" i="3"/>
  <c r="E10" i="3"/>
  <c r="D10" i="3"/>
  <c r="C10" i="3"/>
  <c r="B10" i="3"/>
  <c r="L10" i="3" s="1"/>
  <c r="A10" i="3"/>
  <c r="N9" i="3"/>
  <c r="K9" i="3"/>
  <c r="J9" i="3"/>
  <c r="I9" i="3"/>
  <c r="H9" i="3"/>
  <c r="F9" i="3"/>
  <c r="E9" i="3"/>
  <c r="G9" i="3" s="1"/>
  <c r="D9" i="3"/>
  <c r="C9" i="3"/>
  <c r="B9" i="3"/>
  <c r="M9" i="3" s="1"/>
  <c r="A9" i="3"/>
  <c r="M8" i="3"/>
  <c r="L8" i="3"/>
  <c r="K8" i="3"/>
  <c r="N8" i="3" s="1"/>
  <c r="J8" i="3"/>
  <c r="I8" i="3"/>
  <c r="H8" i="3"/>
  <c r="F8" i="3"/>
  <c r="E8" i="3"/>
  <c r="G8" i="3" s="1"/>
  <c r="D8" i="3"/>
  <c r="C8" i="3"/>
  <c r="B8" i="3"/>
  <c r="A8" i="3"/>
  <c r="N7" i="3"/>
  <c r="L7" i="3"/>
  <c r="K7" i="3"/>
  <c r="J7" i="3"/>
  <c r="I7" i="3"/>
  <c r="H7" i="3"/>
  <c r="G7" i="3"/>
  <c r="O7" i="3" s="1"/>
  <c r="F7" i="3"/>
  <c r="E7" i="3"/>
  <c r="D7" i="3"/>
  <c r="C7" i="3"/>
  <c r="B7" i="3"/>
  <c r="M7" i="3" s="1"/>
  <c r="A7" i="3"/>
  <c r="N6" i="3"/>
  <c r="M6" i="3"/>
  <c r="K6" i="3"/>
  <c r="J6" i="3"/>
  <c r="I6" i="3"/>
  <c r="H6" i="3"/>
  <c r="G6" i="3"/>
  <c r="O6" i="3" s="1"/>
  <c r="F6" i="3"/>
  <c r="E6" i="3"/>
  <c r="D6" i="3"/>
  <c r="C6" i="3"/>
  <c r="B6" i="3"/>
  <c r="L6" i="3" s="1"/>
  <c r="A6" i="3"/>
  <c r="N5" i="3"/>
  <c r="M5" i="3"/>
  <c r="K5" i="3"/>
  <c r="J5" i="3"/>
  <c r="I5" i="3"/>
  <c r="H5" i="3"/>
  <c r="F5" i="3"/>
  <c r="E5" i="3"/>
  <c r="G5" i="3" s="1"/>
  <c r="D5" i="3"/>
  <c r="C5" i="3"/>
  <c r="B5" i="3"/>
  <c r="L5" i="3" s="1"/>
  <c r="A5" i="3"/>
  <c r="M4" i="3"/>
  <c r="L4" i="3"/>
  <c r="K4" i="3"/>
  <c r="N4" i="3" s="1"/>
  <c r="J4" i="3"/>
  <c r="I4" i="3"/>
  <c r="H4" i="3"/>
  <c r="F4" i="3"/>
  <c r="E4" i="3"/>
  <c r="G4" i="3" s="1"/>
  <c r="D4" i="3"/>
  <c r="C4" i="3"/>
  <c r="B4" i="3"/>
  <c r="A4" i="3"/>
  <c r="L3" i="3"/>
  <c r="K3" i="3"/>
  <c r="N3" i="3" s="1"/>
  <c r="J3" i="3"/>
  <c r="I3" i="3"/>
  <c r="H3" i="3"/>
  <c r="G3" i="3"/>
  <c r="O3" i="3" s="1"/>
  <c r="F3" i="3"/>
  <c r="E3" i="3"/>
  <c r="D3" i="3"/>
  <c r="C3" i="3"/>
  <c r="B3" i="3"/>
  <c r="M3" i="3" s="1"/>
  <c r="A3" i="3"/>
  <c r="K2" i="3"/>
  <c r="N2" i="3" s="1"/>
  <c r="J2" i="3"/>
  <c r="I2" i="3"/>
  <c r="H2" i="3"/>
  <c r="G2" i="3"/>
  <c r="O2" i="3" s="1"/>
  <c r="F2" i="3"/>
  <c r="E2" i="3"/>
  <c r="D2" i="3"/>
  <c r="C2" i="3"/>
  <c r="B2" i="3"/>
  <c r="L2" i="3" s="1"/>
  <c r="A2" i="3"/>
  <c r="F131" i="2"/>
  <c r="F127" i="2"/>
  <c r="F122" i="2"/>
  <c r="F119" i="2"/>
  <c r="F111" i="2"/>
  <c r="F110" i="2"/>
  <c r="F106" i="2"/>
  <c r="F104" i="2"/>
  <c r="F103" i="2"/>
  <c r="F102" i="2"/>
  <c r="F95" i="2"/>
  <c r="F86" i="2"/>
  <c r="F85" i="2"/>
  <c r="F83" i="2"/>
  <c r="F82" i="2"/>
  <c r="F80" i="2"/>
  <c r="F74" i="2"/>
  <c r="B6" i="2"/>
  <c r="B5" i="2"/>
  <c r="B4" i="2"/>
  <c r="B3" i="2"/>
  <c r="H7" i="1" s="1"/>
  <c r="O9" i="3" l="1"/>
  <c r="F129" i="2"/>
  <c r="O17" i="3"/>
  <c r="C13" i="5"/>
  <c r="C12" i="5"/>
  <c r="D115" i="2"/>
  <c r="C115" i="2"/>
  <c r="O4" i="3"/>
  <c r="O12" i="3"/>
  <c r="F105" i="2"/>
  <c r="O52" i="3"/>
  <c r="O24" i="3"/>
  <c r="O46" i="3"/>
  <c r="O8" i="3"/>
  <c r="F48" i="2"/>
  <c r="O16" i="3"/>
  <c r="O22" i="3"/>
  <c r="O49" i="3"/>
  <c r="O43" i="3"/>
  <c r="O5" i="3"/>
  <c r="F132" i="2"/>
  <c r="F125" i="2"/>
  <c r="O42" i="3"/>
  <c r="O65" i="3"/>
  <c r="F120" i="2"/>
  <c r="F124" i="2"/>
  <c r="O23" i="3"/>
  <c r="M2" i="3"/>
  <c r="L9" i="3"/>
  <c r="B129" i="2" s="1"/>
  <c r="G129" i="2" s="1"/>
  <c r="M10" i="3"/>
  <c r="L17" i="3"/>
  <c r="C11" i="2" s="1"/>
  <c r="L27" i="3"/>
  <c r="D15" i="2" s="1"/>
  <c r="L30" i="3"/>
  <c r="C59" i="2" s="1"/>
  <c r="M34" i="3"/>
  <c r="M41" i="3"/>
  <c r="L52" i="3"/>
  <c r="C57" i="2" s="1"/>
  <c r="L55" i="3"/>
  <c r="D58" i="2" s="1"/>
  <c r="G64" i="3"/>
  <c r="O64" i="3" s="1"/>
  <c r="M85" i="3"/>
  <c r="L85" i="3"/>
  <c r="M87" i="3"/>
  <c r="M92" i="3"/>
  <c r="L92" i="3"/>
  <c r="C119" i="2" s="1"/>
  <c r="M37" i="3"/>
  <c r="G45" i="3"/>
  <c r="G48" i="3"/>
  <c r="B115" i="2" s="1"/>
  <c r="G115" i="2" s="1"/>
  <c r="M61" i="3"/>
  <c r="L61" i="3"/>
  <c r="C113" i="2" s="1"/>
  <c r="G72" i="3"/>
  <c r="L79" i="3"/>
  <c r="C33" i="2" s="1"/>
  <c r="L54" i="3"/>
  <c r="D46" i="2" s="1"/>
  <c r="L63" i="3"/>
  <c r="B117" i="2" s="1"/>
  <c r="G117" i="2" s="1"/>
  <c r="M69" i="3"/>
  <c r="L69" i="3"/>
  <c r="B130" i="2" s="1"/>
  <c r="G130" i="2" s="1"/>
  <c r="M77" i="3"/>
  <c r="L77" i="3"/>
  <c r="D66" i="2" s="1"/>
  <c r="M29" i="3"/>
  <c r="G37" i="3"/>
  <c r="B114" i="2" s="1"/>
  <c r="G114" i="2" s="1"/>
  <c r="G40" i="3"/>
  <c r="B46" i="2" s="1"/>
  <c r="L71" i="3"/>
  <c r="C100" i="2" s="1"/>
  <c r="L95" i="3"/>
  <c r="B127" i="2" s="1"/>
  <c r="G127" i="2" s="1"/>
  <c r="L103" i="3"/>
  <c r="D104" i="2" s="1"/>
  <c r="M109" i="3"/>
  <c r="L109" i="3"/>
  <c r="L39" i="3"/>
  <c r="L46" i="3"/>
  <c r="D22" i="2" s="1"/>
  <c r="G61" i="3"/>
  <c r="F58" i="2" s="1"/>
  <c r="M84" i="3"/>
  <c r="L84" i="3"/>
  <c r="C32" i="2" s="1"/>
  <c r="L86" i="3"/>
  <c r="M93" i="3"/>
  <c r="L93" i="3"/>
  <c r="D79" i="2" s="1"/>
  <c r="M101" i="3"/>
  <c r="L101" i="3"/>
  <c r="D25" i="2" s="1"/>
  <c r="G29" i="3"/>
  <c r="F24" i="2" s="1"/>
  <c r="G32" i="3"/>
  <c r="B107" i="2" s="1"/>
  <c r="G107" i="2" s="1"/>
  <c r="G69" i="3"/>
  <c r="G88" i="3"/>
  <c r="B99" i="2" s="1"/>
  <c r="G99" i="2" s="1"/>
  <c r="M76" i="3"/>
  <c r="L76" i="3"/>
  <c r="D85" i="2" s="1"/>
  <c r="M18" i="3"/>
  <c r="M45" i="3"/>
  <c r="G53" i="3"/>
  <c r="O53" i="3" s="1"/>
  <c r="G56" i="3"/>
  <c r="M68" i="3"/>
  <c r="L70" i="3"/>
  <c r="G80" i="3"/>
  <c r="L138" i="3"/>
  <c r="C81" i="2" s="1"/>
  <c r="M168" i="3"/>
  <c r="L168" i="3"/>
  <c r="L224" i="3"/>
  <c r="C82" i="2" s="1"/>
  <c r="M224" i="3"/>
  <c r="M258" i="3"/>
  <c r="L258" i="3"/>
  <c r="G159" i="3"/>
  <c r="M172" i="3"/>
  <c r="M212" i="3"/>
  <c r="L212" i="3"/>
  <c r="D125" i="2" s="1"/>
  <c r="M282" i="3"/>
  <c r="L282" i="3"/>
  <c r="L140" i="3"/>
  <c r="B94" i="2" s="1"/>
  <c r="G94" i="2" s="1"/>
  <c r="M160" i="3"/>
  <c r="L160" i="3"/>
  <c r="C132" i="2" s="1"/>
  <c r="M218" i="3"/>
  <c r="L218" i="3"/>
  <c r="M298" i="3"/>
  <c r="L298" i="3"/>
  <c r="G116" i="3"/>
  <c r="F32" i="2" s="1"/>
  <c r="M121" i="3"/>
  <c r="L132" i="3"/>
  <c r="M145" i="3"/>
  <c r="G148" i="3"/>
  <c r="M164" i="3"/>
  <c r="G172" i="3"/>
  <c r="M177" i="3"/>
  <c r="L177" i="3"/>
  <c r="C21" i="2" s="1"/>
  <c r="M185" i="3"/>
  <c r="L185" i="3"/>
  <c r="M193" i="3"/>
  <c r="L193" i="3"/>
  <c r="B74" i="2" s="1"/>
  <c r="G74" i="2" s="1"/>
  <c r="L100" i="3"/>
  <c r="C116" i="2" s="1"/>
  <c r="L108" i="3"/>
  <c r="D93" i="2" s="1"/>
  <c r="L115" i="3"/>
  <c r="L120" i="3"/>
  <c r="M137" i="3"/>
  <c r="G140" i="3"/>
  <c r="L147" i="3"/>
  <c r="C118" i="2" s="1"/>
  <c r="L201" i="3"/>
  <c r="D49" i="2" s="1"/>
  <c r="M201" i="3"/>
  <c r="M273" i="3"/>
  <c r="L273" i="3"/>
  <c r="M156" i="3"/>
  <c r="M169" i="3"/>
  <c r="L169" i="3"/>
  <c r="C99" i="2" s="1"/>
  <c r="L171" i="3"/>
  <c r="C89" i="2" s="1"/>
  <c r="L114" i="3"/>
  <c r="B120" i="2" s="1"/>
  <c r="G120" i="2" s="1"/>
  <c r="G124" i="3"/>
  <c r="O124" i="3" s="1"/>
  <c r="L136" i="3"/>
  <c r="G151" i="3"/>
  <c r="M180" i="3"/>
  <c r="M188" i="3"/>
  <c r="L237" i="3"/>
  <c r="M237" i="3"/>
  <c r="M161" i="3"/>
  <c r="L161" i="3"/>
  <c r="G167" i="3"/>
  <c r="O167" i="3" s="1"/>
  <c r="M260" i="3"/>
  <c r="L260" i="3"/>
  <c r="M256" i="3"/>
  <c r="L256" i="3"/>
  <c r="L306" i="3"/>
  <c r="C95" i="2" s="1"/>
  <c r="M306" i="3"/>
  <c r="L208" i="3"/>
  <c r="G216" i="3"/>
  <c r="L220" i="3"/>
  <c r="M232" i="3"/>
  <c r="G264" i="3"/>
  <c r="O264" i="3" s="1"/>
  <c r="M265" i="3"/>
  <c r="L265" i="3"/>
  <c r="D92" i="2" s="1"/>
  <c r="M280" i="3"/>
  <c r="L280" i="3"/>
  <c r="B111" i="2" s="1"/>
  <c r="G111" i="2" s="1"/>
  <c r="M289" i="3"/>
  <c r="L289" i="3"/>
  <c r="M296" i="3"/>
  <c r="L296" i="3"/>
  <c r="B87" i="2" s="1"/>
  <c r="G87" i="2" s="1"/>
  <c r="L176" i="3"/>
  <c r="L184" i="3"/>
  <c r="C96" i="2" s="1"/>
  <c r="L192" i="3"/>
  <c r="C106" i="2" s="1"/>
  <c r="L200" i="3"/>
  <c r="B84" i="2" s="1"/>
  <c r="G84" i="2" s="1"/>
  <c r="M217" i="3"/>
  <c r="L217" i="3"/>
  <c r="L226" i="3"/>
  <c r="D112" i="2" s="1"/>
  <c r="M248" i="3"/>
  <c r="L248" i="3"/>
  <c r="M374" i="3"/>
  <c r="L374" i="3"/>
  <c r="D90" i="2" s="1"/>
  <c r="G208" i="3"/>
  <c r="O208" i="3" s="1"/>
  <c r="G220" i="3"/>
  <c r="O220" i="3" s="1"/>
  <c r="M225" i="3"/>
  <c r="L225" i="3"/>
  <c r="G232" i="3"/>
  <c r="O232" i="3" s="1"/>
  <c r="L234" i="3"/>
  <c r="L250" i="3"/>
  <c r="G256" i="3"/>
  <c r="M257" i="3"/>
  <c r="L257" i="3"/>
  <c r="B123" i="2" s="1"/>
  <c r="G123" i="2" s="1"/>
  <c r="M233" i="3"/>
  <c r="L233" i="3"/>
  <c r="M272" i="3"/>
  <c r="L272" i="3"/>
  <c r="M281" i="3"/>
  <c r="L281" i="3"/>
  <c r="M317" i="3"/>
  <c r="L317" i="3"/>
  <c r="D76" i="2" s="1"/>
  <c r="L350" i="3"/>
  <c r="M350" i="3"/>
  <c r="M241" i="3"/>
  <c r="L241" i="3"/>
  <c r="M249" i="3"/>
  <c r="L249" i="3"/>
  <c r="B124" i="2" s="1"/>
  <c r="G124" i="2" s="1"/>
  <c r="M337" i="3"/>
  <c r="L337" i="3"/>
  <c r="C98" i="2" s="1"/>
  <c r="M450" i="3"/>
  <c r="L450" i="3"/>
  <c r="L206" i="3"/>
  <c r="M213" i="3"/>
  <c r="G244" i="3"/>
  <c r="M264" i="3"/>
  <c r="L264" i="3"/>
  <c r="M288" i="3"/>
  <c r="L288" i="3"/>
  <c r="L290" i="3"/>
  <c r="M382" i="3"/>
  <c r="L382" i="3"/>
  <c r="L297" i="3"/>
  <c r="C77" i="2" s="1"/>
  <c r="M302" i="3"/>
  <c r="L309" i="3"/>
  <c r="G317" i="3"/>
  <c r="L327" i="3"/>
  <c r="M330" i="3"/>
  <c r="L339" i="3"/>
  <c r="M354" i="3"/>
  <c r="L354" i="3"/>
  <c r="M361" i="3"/>
  <c r="G374" i="3"/>
  <c r="O374" i="3" s="1"/>
  <c r="M387" i="3"/>
  <c r="L387" i="3"/>
  <c r="M414" i="3"/>
  <c r="L414" i="3"/>
  <c r="M454" i="3"/>
  <c r="L454" i="3"/>
  <c r="D83" i="2" s="1"/>
  <c r="G313" i="3"/>
  <c r="L323" i="3"/>
  <c r="M342" i="3"/>
  <c r="L347" i="3"/>
  <c r="M358" i="3"/>
  <c r="L358" i="3"/>
  <c r="G370" i="3"/>
  <c r="G456" i="3"/>
  <c r="G309" i="3"/>
  <c r="O309" i="3" s="1"/>
  <c r="L319" i="3"/>
  <c r="D110" i="2" s="1"/>
  <c r="G330" i="3"/>
  <c r="B91" i="2" s="1"/>
  <c r="G91" i="2" s="1"/>
  <c r="G333" i="3"/>
  <c r="M335" i="3"/>
  <c r="L335" i="3"/>
  <c r="M412" i="3"/>
  <c r="L412" i="3"/>
  <c r="M338" i="3"/>
  <c r="M362" i="3"/>
  <c r="L362" i="3"/>
  <c r="M369" i="3"/>
  <c r="M381" i="3"/>
  <c r="L381" i="3"/>
  <c r="D128" i="2" s="1"/>
  <c r="M485" i="3"/>
  <c r="L485" i="3"/>
  <c r="G301" i="3"/>
  <c r="L311" i="3"/>
  <c r="M318" i="3"/>
  <c r="M346" i="3"/>
  <c r="L346" i="3"/>
  <c r="M366" i="3"/>
  <c r="L366" i="3"/>
  <c r="G377" i="3"/>
  <c r="O377" i="3" s="1"/>
  <c r="M398" i="3"/>
  <c r="L398" i="3"/>
  <c r="G325" i="3"/>
  <c r="G362" i="3"/>
  <c r="M370" i="3"/>
  <c r="L370" i="3"/>
  <c r="L378" i="3"/>
  <c r="M378" i="3"/>
  <c r="G447" i="3"/>
  <c r="M475" i="3"/>
  <c r="L475" i="3"/>
  <c r="M379" i="3"/>
  <c r="L379" i="3"/>
  <c r="C109" i="2" s="1"/>
  <c r="M394" i="3"/>
  <c r="G406" i="3"/>
  <c r="O406" i="3" s="1"/>
  <c r="M418" i="3"/>
  <c r="L418" i="3"/>
  <c r="M435" i="3"/>
  <c r="L435" i="3"/>
  <c r="L444" i="3"/>
  <c r="M458" i="3"/>
  <c r="L458" i="3"/>
  <c r="M483" i="3"/>
  <c r="L483" i="3"/>
  <c r="G382" i="3"/>
  <c r="M403" i="3"/>
  <c r="L403" i="3"/>
  <c r="M426" i="3"/>
  <c r="L426" i="3"/>
  <c r="G446" i="3"/>
  <c r="M466" i="3"/>
  <c r="L466" i="3"/>
  <c r="M491" i="3"/>
  <c r="L491" i="3"/>
  <c r="M443" i="3"/>
  <c r="L443" i="3"/>
  <c r="M474" i="3"/>
  <c r="L474" i="3"/>
  <c r="L343" i="3"/>
  <c r="L351" i="3"/>
  <c r="L359" i="3"/>
  <c r="L367" i="3"/>
  <c r="L391" i="3"/>
  <c r="C114" i="2" s="1"/>
  <c r="L396" i="3"/>
  <c r="M411" i="3"/>
  <c r="L411" i="3"/>
  <c r="L430" i="3"/>
  <c r="M434" i="3"/>
  <c r="L434" i="3"/>
  <c r="D131" i="2" s="1"/>
  <c r="L445" i="3"/>
  <c r="L468" i="3"/>
  <c r="L478" i="3"/>
  <c r="M482" i="3"/>
  <c r="L482" i="3"/>
  <c r="M498" i="3"/>
  <c r="L498" i="3"/>
  <c r="G373" i="3"/>
  <c r="O373" i="3" s="1"/>
  <c r="M395" i="3"/>
  <c r="L395" i="3"/>
  <c r="M402" i="3"/>
  <c r="L402" i="3"/>
  <c r="L428" i="3"/>
  <c r="M451" i="3"/>
  <c r="L451" i="3"/>
  <c r="L453" i="3"/>
  <c r="L476" i="3"/>
  <c r="L486" i="3"/>
  <c r="M490" i="3"/>
  <c r="L490" i="3"/>
  <c r="G398" i="3"/>
  <c r="M419" i="3"/>
  <c r="L419" i="3"/>
  <c r="C91" i="2" s="1"/>
  <c r="G430" i="3"/>
  <c r="O430" i="3" s="1"/>
  <c r="M442" i="3"/>
  <c r="L442" i="3"/>
  <c r="M459" i="3"/>
  <c r="L459" i="3"/>
  <c r="G478" i="3"/>
  <c r="O478" i="3" s="1"/>
  <c r="L494" i="3"/>
  <c r="M410" i="3"/>
  <c r="L410" i="3"/>
  <c r="M427" i="3"/>
  <c r="L427" i="3"/>
  <c r="M467" i="3"/>
  <c r="L467" i="3"/>
  <c r="G486" i="3"/>
  <c r="M499" i="3"/>
  <c r="L499" i="3"/>
  <c r="D78" i="2" l="1"/>
  <c r="B45" i="2"/>
  <c r="O72" i="3"/>
  <c r="F14" i="2"/>
  <c r="F27" i="2"/>
  <c r="F81" i="2"/>
  <c r="B81" i="2"/>
  <c r="G81" i="2" s="1"/>
  <c r="B125" i="2"/>
  <c r="G125" i="2" s="1"/>
  <c r="B83" i="2"/>
  <c r="G83" i="2" s="1"/>
  <c r="D109" i="2"/>
  <c r="B80" i="2"/>
  <c r="G80" i="2" s="1"/>
  <c r="D14" i="2"/>
  <c r="D84" i="2"/>
  <c r="F117" i="2"/>
  <c r="B102" i="2"/>
  <c r="G102" i="2" s="1"/>
  <c r="D74" i="2"/>
  <c r="D12" i="2"/>
  <c r="D95" i="2"/>
  <c r="B23" i="2"/>
  <c r="F121" i="2"/>
  <c r="B116" i="2"/>
  <c r="G116" i="2" s="1"/>
  <c r="B76" i="2"/>
  <c r="G76" i="2" s="1"/>
  <c r="B42" i="2"/>
  <c r="C85" i="2"/>
  <c r="C117" i="2"/>
  <c r="C27" i="2"/>
  <c r="C104" i="2"/>
  <c r="B131" i="2"/>
  <c r="G131" i="2" s="1"/>
  <c r="C41" i="2"/>
  <c r="C79" i="2"/>
  <c r="C111" i="2"/>
  <c r="B118" i="2"/>
  <c r="G118" i="2" s="1"/>
  <c r="C23" i="2"/>
  <c r="B48" i="2"/>
  <c r="C90" i="2"/>
  <c r="C122" i="2"/>
  <c r="C14" i="5"/>
  <c r="D103" i="2"/>
  <c r="O362" i="3"/>
  <c r="F87" i="2"/>
  <c r="O382" i="3"/>
  <c r="F126" i="2"/>
  <c r="O447" i="3"/>
  <c r="F25" i="2"/>
  <c r="O301" i="3"/>
  <c r="F116" i="2"/>
  <c r="O313" i="3"/>
  <c r="F97" i="2"/>
  <c r="O256" i="3"/>
  <c r="F21" i="2"/>
  <c r="F89" i="2"/>
  <c r="O148" i="3"/>
  <c r="F31" i="2"/>
  <c r="C28" i="2"/>
  <c r="D107" i="2"/>
  <c r="D75" i="2"/>
  <c r="B15" i="2"/>
  <c r="B121" i="2"/>
  <c r="G121" i="2" s="1"/>
  <c r="C34" i="2"/>
  <c r="D114" i="2"/>
  <c r="D80" i="2"/>
  <c r="B106" i="2"/>
  <c r="G106" i="2" s="1"/>
  <c r="D77" i="2"/>
  <c r="B11" i="2"/>
  <c r="B79" i="2"/>
  <c r="G79" i="2" s="1"/>
  <c r="F46" i="2"/>
  <c r="D98" i="2"/>
  <c r="D67" i="2"/>
  <c r="B43" i="2"/>
  <c r="B90" i="2"/>
  <c r="G90" i="2" s="1"/>
  <c r="D111" i="2"/>
  <c r="D73" i="2"/>
  <c r="D13" i="2"/>
  <c r="C45" i="2"/>
  <c r="C121" i="2"/>
  <c r="D30" i="2"/>
  <c r="C76" i="2"/>
  <c r="C108" i="2"/>
  <c r="D100" i="2"/>
  <c r="D116" i="2"/>
  <c r="D132" i="2"/>
  <c r="D44" i="2"/>
  <c r="C83" i="2"/>
  <c r="D119" i="2"/>
  <c r="D26" i="2"/>
  <c r="C55" i="2"/>
  <c r="C94" i="2"/>
  <c r="C126" i="2"/>
  <c r="O333" i="3"/>
  <c r="F112" i="2"/>
  <c r="F33" i="2"/>
  <c r="O456" i="3"/>
  <c r="F75" i="2"/>
  <c r="O244" i="3"/>
  <c r="F77" i="2"/>
  <c r="B89" i="2"/>
  <c r="G89" i="2" s="1"/>
  <c r="O159" i="3"/>
  <c r="F109" i="2"/>
  <c r="O80" i="3"/>
  <c r="F128" i="2"/>
  <c r="F23" i="2"/>
  <c r="C24" i="2"/>
  <c r="D11" i="2"/>
  <c r="D16" i="2" s="1"/>
  <c r="B110" i="2"/>
  <c r="G110" i="2" s="1"/>
  <c r="B75" i="2"/>
  <c r="G75" i="2" s="1"/>
  <c r="F34" i="2"/>
  <c r="D102" i="2"/>
  <c r="F67" i="2"/>
  <c r="D7" i="1"/>
  <c r="B93" i="2"/>
  <c r="G93" i="2" s="1"/>
  <c r="B57" i="2"/>
  <c r="C26" i="2"/>
  <c r="B128" i="2"/>
  <c r="G128" i="2" s="1"/>
  <c r="D87" i="2"/>
  <c r="C12" i="2"/>
  <c r="D122" i="2"/>
  <c r="B104" i="2"/>
  <c r="G104" i="2" s="1"/>
  <c r="C66" i="2"/>
  <c r="B22" i="2"/>
  <c r="D48" i="2"/>
  <c r="C93" i="2"/>
  <c r="C125" i="2"/>
  <c r="B32" i="2"/>
  <c r="C80" i="2"/>
  <c r="C112" i="2"/>
  <c r="B103" i="2"/>
  <c r="G103" i="2" s="1"/>
  <c r="B119" i="2"/>
  <c r="G119" i="2" s="1"/>
  <c r="C87" i="2"/>
  <c r="B122" i="2"/>
  <c r="G122" i="2" s="1"/>
  <c r="B28" i="2"/>
  <c r="C130" i="2"/>
  <c r="D91" i="2"/>
  <c r="O370" i="3"/>
  <c r="F84" i="2"/>
  <c r="O140" i="3"/>
  <c r="F45" i="2"/>
  <c r="F94" i="2"/>
  <c r="B97" i="2"/>
  <c r="G97" i="2" s="1"/>
  <c r="O88" i="3"/>
  <c r="F99" i="2"/>
  <c r="B31" i="2"/>
  <c r="D31" i="2"/>
  <c r="O48" i="3"/>
  <c r="F13" i="2"/>
  <c r="F115" i="2"/>
  <c r="D106" i="2"/>
  <c r="B65" i="2"/>
  <c r="F40" i="2"/>
  <c r="B96" i="2"/>
  <c r="G96" i="2" s="1"/>
  <c r="D57" i="2"/>
  <c r="C7" i="1"/>
  <c r="D129" i="2"/>
  <c r="D43" i="2"/>
  <c r="B95" i="2"/>
  <c r="G95" i="2" s="1"/>
  <c r="D117" i="2"/>
  <c r="B82" i="2"/>
  <c r="G82" i="2" s="1"/>
  <c r="C13" i="2"/>
  <c r="D97" i="2"/>
  <c r="B59" i="2"/>
  <c r="C25" i="2"/>
  <c r="C97" i="2"/>
  <c r="C129" i="2"/>
  <c r="D42" i="2"/>
  <c r="C84" i="2"/>
  <c r="D120" i="2"/>
  <c r="D24" i="2"/>
  <c r="C49" i="2"/>
  <c r="C123" i="2"/>
  <c r="D123" i="2"/>
  <c r="C31" i="2"/>
  <c r="C67" i="2"/>
  <c r="C102" i="2"/>
  <c r="B101" i="2"/>
  <c r="G101" i="2" s="1"/>
  <c r="O446" i="3"/>
  <c r="F88" i="2"/>
  <c r="D94" i="2"/>
  <c r="O69" i="3"/>
  <c r="F130" i="2"/>
  <c r="D126" i="2"/>
  <c r="O45" i="3"/>
  <c r="F12" i="2"/>
  <c r="F92" i="2"/>
  <c r="C58" i="2"/>
  <c r="C48" i="2"/>
  <c r="D47" i="2"/>
  <c r="G7" i="1"/>
  <c r="F7" i="1"/>
  <c r="D55" i="2"/>
  <c r="B55" i="2"/>
  <c r="D65" i="2"/>
  <c r="D68" i="2" s="1"/>
  <c r="D99" i="2"/>
  <c r="F57" i="2"/>
  <c r="B47" i="2"/>
  <c r="D29" i="2"/>
  <c r="B29" i="2"/>
  <c r="D118" i="2"/>
  <c r="B85" i="2"/>
  <c r="G85" i="2" s="1"/>
  <c r="C40" i="2"/>
  <c r="B112" i="2"/>
  <c r="G112" i="2" s="1"/>
  <c r="C14" i="2"/>
  <c r="B108" i="2"/>
  <c r="G108" i="2" s="1"/>
  <c r="F30" i="2"/>
  <c r="B92" i="2"/>
  <c r="G92" i="2" s="1"/>
  <c r="D45" i="2"/>
  <c r="D28" i="2"/>
  <c r="B66" i="2"/>
  <c r="C101" i="2"/>
  <c r="B132" i="2"/>
  <c r="G132" i="2" s="1"/>
  <c r="B44" i="2"/>
  <c r="C88" i="2"/>
  <c r="C120" i="2"/>
  <c r="B26" i="2"/>
  <c r="D56" i="2"/>
  <c r="C127" i="2"/>
  <c r="B126" i="2"/>
  <c r="G126" i="2" s="1"/>
  <c r="D34" i="2"/>
  <c r="C74" i="2"/>
  <c r="D130" i="2"/>
  <c r="C46" i="2"/>
  <c r="O486" i="3"/>
  <c r="F96" i="2"/>
  <c r="O398" i="3"/>
  <c r="F123" i="2"/>
  <c r="D86" i="2"/>
  <c r="B86" i="2"/>
  <c r="G86" i="2" s="1"/>
  <c r="B21" i="2"/>
  <c r="D21" i="2"/>
  <c r="O116" i="3"/>
  <c r="F118" i="2"/>
  <c r="O56" i="3"/>
  <c r="B100" i="2"/>
  <c r="G100" i="2" s="1"/>
  <c r="F100" i="2"/>
  <c r="O32" i="3"/>
  <c r="F29" i="2"/>
  <c r="F65" i="2"/>
  <c r="F68" i="2" s="1"/>
  <c r="F41" i="2"/>
  <c r="F107" i="2"/>
  <c r="F55" i="2"/>
  <c r="F60" i="2" s="1"/>
  <c r="C11" i="5" s="1"/>
  <c r="D41" i="2"/>
  <c r="D96" i="2"/>
  <c r="F90" i="2"/>
  <c r="D33" i="2"/>
  <c r="B12" i="2"/>
  <c r="F28" i="2"/>
  <c r="B113" i="2"/>
  <c r="G113" i="2" s="1"/>
  <c r="D82" i="2"/>
  <c r="B33" i="2"/>
  <c r="F101" i="2"/>
  <c r="B105" i="2"/>
  <c r="G105" i="2" s="1"/>
  <c r="C15" i="2"/>
  <c r="D59" i="2"/>
  <c r="F42" i="2"/>
  <c r="D89" i="2"/>
  <c r="C42" i="2"/>
  <c r="B30" i="2"/>
  <c r="C73" i="2"/>
  <c r="C105" i="2"/>
  <c r="C47" i="2"/>
  <c r="C92" i="2"/>
  <c r="C124" i="2"/>
  <c r="D108" i="2"/>
  <c r="D124" i="2"/>
  <c r="C29" i="2"/>
  <c r="B58" i="2"/>
  <c r="C131" i="2"/>
  <c r="D127" i="2"/>
  <c r="B40" i="2"/>
  <c r="C78" i="2"/>
  <c r="C110" i="2"/>
  <c r="F66" i="2"/>
  <c r="B41" i="2"/>
  <c r="O151" i="3"/>
  <c r="F73" i="2"/>
  <c r="F49" i="2"/>
  <c r="B49" i="2"/>
  <c r="B73" i="2"/>
  <c r="O29" i="3"/>
  <c r="F47" i="2"/>
  <c r="F78" i="2"/>
  <c r="F11" i="2"/>
  <c r="B78" i="2"/>
  <c r="G78" i="2" s="1"/>
  <c r="O61" i="3"/>
  <c r="F113" i="2"/>
  <c r="O40" i="3"/>
  <c r="F98" i="2"/>
  <c r="F15" i="2"/>
  <c r="D27" i="2"/>
  <c r="B88" i="2"/>
  <c r="G88" i="2" s="1"/>
  <c r="C30" i="2"/>
  <c r="B7" i="1"/>
  <c r="B109" i="2"/>
  <c r="G109" i="2" s="1"/>
  <c r="F79" i="2"/>
  <c r="D23" i="2"/>
  <c r="D101" i="2"/>
  <c r="B67" i="2"/>
  <c r="F22" i="2"/>
  <c r="C56" i="2"/>
  <c r="F56" i="2"/>
  <c r="B56" i="2"/>
  <c r="C128" i="2"/>
  <c r="D32" i="2"/>
  <c r="C65" i="2"/>
  <c r="C103" i="2"/>
  <c r="C43" i="2"/>
  <c r="O325" i="3"/>
  <c r="F59" i="2"/>
  <c r="O330" i="3"/>
  <c r="F91" i="2"/>
  <c r="O317" i="3"/>
  <c r="F76" i="2"/>
  <c r="O216" i="3"/>
  <c r="F93" i="2"/>
  <c r="O172" i="3"/>
  <c r="F108" i="2"/>
  <c r="B25" i="2"/>
  <c r="B13" i="2"/>
  <c r="O37" i="3"/>
  <c r="F43" i="2"/>
  <c r="F114" i="2"/>
  <c r="D88" i="2"/>
  <c r="F26" i="2"/>
  <c r="D113" i="2"/>
  <c r="B27" i="2"/>
  <c r="D105" i="2"/>
  <c r="B77" i="2"/>
  <c r="G77" i="2" s="1"/>
  <c r="B14" i="2"/>
  <c r="F44" i="2"/>
  <c r="B98" i="2"/>
  <c r="G98" i="2" s="1"/>
  <c r="D121" i="2"/>
  <c r="D81" i="2"/>
  <c r="C22" i="2"/>
  <c r="D40" i="2"/>
  <c r="B24" i="2"/>
  <c r="B34" i="2"/>
  <c r="C75" i="2"/>
  <c r="C107" i="2"/>
  <c r="C86" i="2"/>
  <c r="C44" i="2"/>
  <c r="C16" i="2" l="1"/>
  <c r="C60" i="2"/>
  <c r="D50" i="2"/>
  <c r="C35" i="2"/>
  <c r="B60" i="2"/>
  <c r="B133" i="2"/>
  <c r="G73" i="2"/>
  <c r="B50" i="2"/>
  <c r="D60" i="2"/>
  <c r="F50" i="2"/>
  <c r="C50" i="2"/>
  <c r="D35" i="2"/>
  <c r="B68" i="2"/>
  <c r="B35" i="2"/>
  <c r="C6" i="5"/>
  <c r="F35" i="2"/>
  <c r="C5" i="5" s="1"/>
  <c r="F133" i="2"/>
  <c r="F16" i="2"/>
  <c r="C133" i="2"/>
  <c r="D133" i="2"/>
  <c r="B16" i="2"/>
  <c r="C68" i="2"/>
  <c r="E7" i="1"/>
  <c r="C7" i="5" l="1"/>
  <c r="C8" i="5"/>
  <c r="C10" i="5"/>
  <c r="C9" i="5"/>
  <c r="E49" i="2"/>
  <c r="E41" i="2"/>
  <c r="E47" i="2"/>
  <c r="E45" i="2"/>
  <c r="E43" i="2"/>
  <c r="E40" i="2"/>
  <c r="E42" i="2"/>
  <c r="E46" i="2"/>
  <c r="E48" i="2"/>
  <c r="E44" i="2"/>
  <c r="E131" i="2"/>
  <c r="E127" i="2"/>
  <c r="E123" i="2"/>
  <c r="E119" i="2"/>
  <c r="E115" i="2"/>
  <c r="E111" i="2"/>
  <c r="E107" i="2"/>
  <c r="E103" i="2"/>
  <c r="E99" i="2"/>
  <c r="E95" i="2"/>
  <c r="E91" i="2"/>
  <c r="E87" i="2"/>
  <c r="E83" i="2"/>
  <c r="E79" i="2"/>
  <c r="E75" i="2"/>
  <c r="E132" i="2"/>
  <c r="E128" i="2"/>
  <c r="E124" i="2"/>
  <c r="E120" i="2"/>
  <c r="E116" i="2"/>
  <c r="E112" i="2"/>
  <c r="E108" i="2"/>
  <c r="E104" i="2"/>
  <c r="E100" i="2"/>
  <c r="E96" i="2"/>
  <c r="E92" i="2"/>
  <c r="E88" i="2"/>
  <c r="E84" i="2"/>
  <c r="E80" i="2"/>
  <c r="E76" i="2"/>
  <c r="E129" i="2"/>
  <c r="E125" i="2"/>
  <c r="E121" i="2"/>
  <c r="E117" i="2"/>
  <c r="E113" i="2"/>
  <c r="E109" i="2"/>
  <c r="E105" i="2"/>
  <c r="E101" i="2"/>
  <c r="E97" i="2"/>
  <c r="E93" i="2"/>
  <c r="E89" i="2"/>
  <c r="E85" i="2"/>
  <c r="E81" i="2"/>
  <c r="E77" i="2"/>
  <c r="E73" i="2"/>
  <c r="E130" i="2"/>
  <c r="E126" i="2"/>
  <c r="E122" i="2"/>
  <c r="E118" i="2"/>
  <c r="E114" i="2"/>
  <c r="E110" i="2"/>
  <c r="E106" i="2"/>
  <c r="E102" i="2"/>
  <c r="E98" i="2"/>
  <c r="E94" i="2"/>
  <c r="E90" i="2"/>
  <c r="E86" i="2"/>
  <c r="E82" i="2"/>
  <c r="E78" i="2"/>
  <c r="E74" i="2"/>
  <c r="K19" i="2"/>
  <c r="L16" i="2"/>
  <c r="L15" i="2"/>
  <c r="L14" i="2"/>
  <c r="L13" i="2"/>
  <c r="L18" i="2"/>
  <c r="J16" i="2"/>
  <c r="J15" i="2"/>
  <c r="J14" i="2"/>
  <c r="J13" i="2"/>
  <c r="J12" i="2"/>
  <c r="L20" i="2"/>
  <c r="J18" i="2"/>
  <c r="J20" i="2"/>
  <c r="K17" i="2"/>
  <c r="K12" i="2"/>
  <c r="K20" i="2"/>
  <c r="J19" i="2"/>
  <c r="L19" i="2"/>
  <c r="K15" i="2"/>
  <c r="K13" i="2"/>
  <c r="K18" i="2"/>
  <c r="L11" i="2"/>
  <c r="J17" i="2"/>
  <c r="L17" i="2"/>
  <c r="K11" i="2"/>
  <c r="J11" i="2"/>
  <c r="K16" i="2"/>
  <c r="K14" i="2"/>
  <c r="L12" i="2"/>
  <c r="E29" i="2"/>
  <c r="E21" i="2"/>
  <c r="E27" i="2"/>
  <c r="E33" i="2"/>
  <c r="E25" i="2"/>
  <c r="E31" i="2"/>
  <c r="E23" i="2"/>
  <c r="E30" i="2"/>
  <c r="E26" i="2"/>
  <c r="E32" i="2"/>
  <c r="E22" i="2"/>
  <c r="E28" i="2"/>
  <c r="E34" i="2"/>
  <c r="E24" i="2"/>
  <c r="E15" i="2"/>
  <c r="E14" i="2"/>
  <c r="E13" i="2"/>
  <c r="E12" i="2"/>
  <c r="E11" i="2"/>
  <c r="E65" i="2"/>
  <c r="E67" i="2"/>
  <c r="E66" i="2"/>
  <c r="E59" i="2"/>
  <c r="E57" i="2"/>
  <c r="E55" i="2"/>
  <c r="E56" i="2"/>
  <c r="E58" i="2"/>
  <c r="C15" i="5" l="1"/>
  <c r="E133" i="2"/>
  <c r="E50" i="2"/>
  <c r="E68" i="2"/>
  <c r="E16" i="2"/>
  <c r="E35" i="2"/>
  <c r="E60" i="2"/>
</calcChain>
</file>

<file path=xl/sharedStrings.xml><?xml version="1.0" encoding="utf-8"?>
<sst xmlns="http://schemas.openxmlformats.org/spreadsheetml/2006/main" count="3840" uniqueCount="802">
  <si>
    <t>Amazon Sales Performance Dashboard</t>
  </si>
  <si>
    <t>September 2026 order data  |  Use the yellow dropdowns to filter  |  Amounts in ₹</t>
  </si>
  <si>
    <t>Category</t>
  </si>
  <si>
    <t>All</t>
  </si>
  <si>
    <t>Customer Location</t>
  </si>
  <si>
    <t>Order Status</t>
  </si>
  <si>
    <t>Month</t>
  </si>
  <si>
    <t>Total Sales</t>
  </si>
  <si>
    <t>Total Orders</t>
  </si>
  <si>
    <t>Units Sold</t>
  </si>
  <si>
    <t>Avg Order Value</t>
  </si>
  <si>
    <t>Delivered %</t>
  </si>
  <si>
    <t>Cancelled %</t>
  </si>
  <si>
    <t>Pending %</t>
  </si>
  <si>
    <t>Pivot Tables (formula-driven; respond to the Dashboard filters)</t>
  </si>
  <si>
    <t>Category criteria</t>
  </si>
  <si>
    <t>'*' = All (wildcard). Set by the dropdowns on the Dashboard.</t>
  </si>
  <si>
    <t>Location criteria</t>
  </si>
  <si>
    <t>Status criteria</t>
  </si>
  <si>
    <t>Month criteria</t>
  </si>
  <si>
    <t>Category-wise Total Sales</t>
  </si>
  <si>
    <t>Top 10 Customers by Total Spending</t>
  </si>
  <si>
    <t>Item</t>
  </si>
  <si>
    <t>Orders</t>
  </si>
  <si>
    <t>% of Sales</t>
  </si>
  <si>
    <t>Total Sales (all data)</t>
  </si>
  <si>
    <t>Rank</t>
  </si>
  <si>
    <t>Customer</t>
  </si>
  <si>
    <t>Electronics</t>
  </si>
  <si>
    <t>Home &amp; Kitchen</t>
  </si>
  <si>
    <t>Footwear</t>
  </si>
  <si>
    <t>Clothing</t>
  </si>
  <si>
    <t>Books</t>
  </si>
  <si>
    <t>Grand Total</t>
  </si>
  <si>
    <t>Product-wise Performance</t>
  </si>
  <si>
    <t>Smart Watch</t>
  </si>
  <si>
    <t>Running Shoes</t>
  </si>
  <si>
    <t>Mixer Grinder</t>
  </si>
  <si>
    <t>Wireless Earbuds</t>
  </si>
  <si>
    <t>Air Fryer</t>
  </si>
  <si>
    <t>Casual Sneakers</t>
  </si>
  <si>
    <t>Denim Jeans</t>
  </si>
  <si>
    <t>Bluetooth Speaker</t>
  </si>
  <si>
    <t>Power Bank</t>
  </si>
  <si>
    <t>Water Bottle</t>
  </si>
  <si>
    <t>Sandals</t>
  </si>
  <si>
    <t>Cotton T-Shirt</t>
  </si>
  <si>
    <t>Python Programming Book</t>
  </si>
  <si>
    <t>Self Help Book</t>
  </si>
  <si>
    <t>City-wise Total Sales</t>
  </si>
  <si>
    <t>Mumbai</t>
  </si>
  <si>
    <t>Bangalore</t>
  </si>
  <si>
    <t>Hyderabad</t>
  </si>
  <si>
    <t>Delhi</t>
  </si>
  <si>
    <t>Pune</t>
  </si>
  <si>
    <t>Kolkata</t>
  </si>
  <si>
    <t>Lucknow</t>
  </si>
  <si>
    <t>Ahmedabad</t>
  </si>
  <si>
    <t>Chennai</t>
  </si>
  <si>
    <t>Jaipur</t>
  </si>
  <si>
    <t>Payment Method Usage</t>
  </si>
  <si>
    <t>UPI</t>
  </si>
  <si>
    <t>Debit Card</t>
  </si>
  <si>
    <t>Credit Card</t>
  </si>
  <si>
    <t>Cash On Delivery</t>
  </si>
  <si>
    <t>Net Banking</t>
  </si>
  <si>
    <t>Order Status Distribution (ignores Status filter)</t>
  </si>
  <si>
    <t>Delivered</t>
  </si>
  <si>
    <t>Pending</t>
  </si>
  <si>
    <t>Cancelled</t>
  </si>
  <si>
    <t>All Customers by Total Spending</t>
  </si>
  <si>
    <t>Rank helper</t>
  </si>
  <si>
    <t>Aarav Das</t>
  </si>
  <si>
    <t>Aarav Joshi</t>
  </si>
  <si>
    <t>Aditya Iyer</t>
  </si>
  <si>
    <t>Aditya Kulkarni</t>
  </si>
  <si>
    <t>Aditya Rao</t>
  </si>
  <si>
    <t>Aditya Sharma</t>
  </si>
  <si>
    <t>Aditya Singh</t>
  </si>
  <si>
    <t>Anjali Mehta</t>
  </si>
  <si>
    <t>Anjali Verma</t>
  </si>
  <si>
    <t>Arjun Chopra</t>
  </si>
  <si>
    <t>Arjun Das</t>
  </si>
  <si>
    <t>Arjun Joshi</t>
  </si>
  <si>
    <t>Arjun Verma</t>
  </si>
  <si>
    <t>Divya Singh</t>
  </si>
  <si>
    <t>Ishaan Chopra</t>
  </si>
  <si>
    <t>Ishaan Gupta</t>
  </si>
  <si>
    <t>Ishaan Singh</t>
  </si>
  <si>
    <t>Karan Joshi</t>
  </si>
  <si>
    <t>Kavya Gupta</t>
  </si>
  <si>
    <t>Kavya Patel</t>
  </si>
  <si>
    <t>Kavya Rao</t>
  </si>
  <si>
    <t>Meera Mehta</t>
  </si>
  <si>
    <t>Meera Rao</t>
  </si>
  <si>
    <t>Meera Singh</t>
  </si>
  <si>
    <t>Neha Kulkarni</t>
  </si>
  <si>
    <t>Neha Mehta</t>
  </si>
  <si>
    <t>Neha Patel</t>
  </si>
  <si>
    <t>Nikhil Joshi</t>
  </si>
  <si>
    <t>Nikhil Kulkarni</t>
  </si>
  <si>
    <t>Nikhil Patel</t>
  </si>
  <si>
    <t>Nikhil Rao</t>
  </si>
  <si>
    <t>Nikhil Reddy</t>
  </si>
  <si>
    <t>Pooja Gupta</t>
  </si>
  <si>
    <t>Pooja Iyer</t>
  </si>
  <si>
    <t>Priya Chopra</t>
  </si>
  <si>
    <t>Priya Das</t>
  </si>
  <si>
    <t>Priya Iyer</t>
  </si>
  <si>
    <t>Priya Joshi</t>
  </si>
  <si>
    <t>Priya Khan</t>
  </si>
  <si>
    <t>Priya Patel</t>
  </si>
  <si>
    <t>Priya Reddy</t>
  </si>
  <si>
    <t>Rajesh Reddy</t>
  </si>
  <si>
    <t>Riya Reddy</t>
  </si>
  <si>
    <t>Sahil Sharma</t>
  </si>
  <si>
    <t>Sneha Reddy</t>
  </si>
  <si>
    <t>Sneha Singh</t>
  </si>
  <si>
    <t>Suresh Das</t>
  </si>
  <si>
    <t>Suresh Nair</t>
  </si>
  <si>
    <t>Tanvi Gupta</t>
  </si>
  <si>
    <t>Tanvi Iyer</t>
  </si>
  <si>
    <t>Tanvi Joshi</t>
  </si>
  <si>
    <t>Tanvi Verma</t>
  </si>
  <si>
    <t>Vikram Iyer</t>
  </si>
  <si>
    <t>Vikram Joshi</t>
  </si>
  <si>
    <t>Vikram Nair</t>
  </si>
  <si>
    <t>Vikram Reddy</t>
  </si>
  <si>
    <t>Vivaan Das</t>
  </si>
  <si>
    <t>Vivaan Iyer</t>
  </si>
  <si>
    <t>Vivaan Joshi</t>
  </si>
  <si>
    <t>Vivaan Sharma</t>
  </si>
  <si>
    <t>Order ID</t>
  </si>
  <si>
    <t>Date</t>
  </si>
  <si>
    <t>Product</t>
  </si>
  <si>
    <t>Price</t>
  </si>
  <si>
    <t>Quantity</t>
  </si>
  <si>
    <t>Customer Name</t>
  </si>
  <si>
    <t>Payment Method</t>
  </si>
  <si>
    <t>Day of Week</t>
  </si>
  <si>
    <t>Status Flag</t>
  </si>
  <si>
    <t>Validation</t>
  </si>
  <si>
    <t>AMZ-10052</t>
  </si>
  <si>
    <t>mixer grinder</t>
  </si>
  <si>
    <t>AMZ-10123</t>
  </si>
  <si>
    <t>SELF HELP BOOK</t>
  </si>
  <si>
    <t>AMZ-10196</t>
  </si>
  <si>
    <t>AMZ-10245</t>
  </si>
  <si>
    <t xml:space="preserve">Self Help Book </t>
  </si>
  <si>
    <t>AMZ-10252</t>
  </si>
  <si>
    <t>bangalore</t>
  </si>
  <si>
    <t>AMZ-10255</t>
  </si>
  <si>
    <t>HYDERABAD</t>
  </si>
  <si>
    <t xml:space="preserve">AMZ-10301 </t>
  </si>
  <si>
    <t>AMZ-10364</t>
  </si>
  <si>
    <t>VIVAAN DAS</t>
  </si>
  <si>
    <t>AMZ-10414</t>
  </si>
  <si>
    <t xml:space="preserve">Air Fryer </t>
  </si>
  <si>
    <t>AMZ-10484</t>
  </si>
  <si>
    <t>AMZ-10113</t>
  </si>
  <si>
    <t>AMZ-10145</t>
  </si>
  <si>
    <t>AMZ-10182</t>
  </si>
  <si>
    <t>AMZ-10204</t>
  </si>
  <si>
    <t>Shipped</t>
  </si>
  <si>
    <t>AMZ-10237</t>
  </si>
  <si>
    <t>AMZ-10260</t>
  </si>
  <si>
    <t xml:space="preserve">  Nikhil Patel </t>
  </si>
  <si>
    <t>AMZ-10269</t>
  </si>
  <si>
    <t>AMZ-10272</t>
  </si>
  <si>
    <t xml:space="preserve">  Delhi </t>
  </si>
  <si>
    <t>AMZ-10291</t>
  </si>
  <si>
    <t>AMZ-10319</t>
  </si>
  <si>
    <t>AMZ-10329</t>
  </si>
  <si>
    <t xml:space="preserve">Lucknow </t>
  </si>
  <si>
    <t>AMZ-10353</t>
  </si>
  <si>
    <t xml:space="preserve">Wireless Earbuds </t>
  </si>
  <si>
    <t>AMZ-10398</t>
  </si>
  <si>
    <t>AMZ-10452</t>
  </si>
  <si>
    <t>AMZ-10455</t>
  </si>
  <si>
    <t>AMZ-10474</t>
  </si>
  <si>
    <t>AMZ-10478</t>
  </si>
  <si>
    <t xml:space="preserve">  Running Shoes </t>
  </si>
  <si>
    <t>AMZ-10001</t>
  </si>
  <si>
    <t>ADITYA SHARMA</t>
  </si>
  <si>
    <t>AMZ-10033</t>
  </si>
  <si>
    <t>AMZ-10055</t>
  </si>
  <si>
    <t>AMZ-10066</t>
  </si>
  <si>
    <t>AMZ-10127</t>
  </si>
  <si>
    <t>power bank</t>
  </si>
  <si>
    <t>AMZ-10218</t>
  </si>
  <si>
    <t>pune</t>
  </si>
  <si>
    <t>AMZ-10220</t>
  </si>
  <si>
    <t>AMZ-10273</t>
  </si>
  <si>
    <t>denim jeans</t>
  </si>
  <si>
    <t>TANVI GUPTA</t>
  </si>
  <si>
    <t>AMZ-10284</t>
  </si>
  <si>
    <t>AMZ-10288</t>
  </si>
  <si>
    <t>AMZ-10333</t>
  </si>
  <si>
    <t>AMZ-10396</t>
  </si>
  <si>
    <t xml:space="preserve">  Self Help Book </t>
  </si>
  <si>
    <t>AMZ-10410</t>
  </si>
  <si>
    <t xml:space="preserve">Delhi </t>
  </si>
  <si>
    <t>AMZ-10460</t>
  </si>
  <si>
    <t>casual sneakers</t>
  </si>
  <si>
    <t>AMZ-10477</t>
  </si>
  <si>
    <t xml:space="preserve">  Hyderabad </t>
  </si>
  <si>
    <t>AMZ-10479</t>
  </si>
  <si>
    <t>AMZ-10497</t>
  </si>
  <si>
    <t>kavya patel</t>
  </si>
  <si>
    <t>AMZ-10005</t>
  </si>
  <si>
    <t>AMZ-10028</t>
  </si>
  <si>
    <t>riya reddy</t>
  </si>
  <si>
    <t>AMZ-10036</t>
  </si>
  <si>
    <t>AMZ-10040</t>
  </si>
  <si>
    <t xml:space="preserve">  Sneha Reddy </t>
  </si>
  <si>
    <t>AMZ-10044</t>
  </si>
  <si>
    <t>AMZ-10045</t>
  </si>
  <si>
    <t xml:space="preserve">AMZ-10046 </t>
  </si>
  <si>
    <t>AMZ-10081</t>
  </si>
  <si>
    <t>self help book</t>
  </si>
  <si>
    <t>AMZ-10083</t>
  </si>
  <si>
    <t>AMZ-10103</t>
  </si>
  <si>
    <t>AMZ-10112</t>
  </si>
  <si>
    <t>NIKHIL JOSHI</t>
  </si>
  <si>
    <t>AMZ-10144</t>
  </si>
  <si>
    <t xml:space="preserve">Smart Watch </t>
  </si>
  <si>
    <t>VIKRAM REDDY</t>
  </si>
  <si>
    <t>AMZ-10163</t>
  </si>
  <si>
    <t>AMZ-10188</t>
  </si>
  <si>
    <t>AMZ-10250</t>
  </si>
  <si>
    <t>AMZ-10257</t>
  </si>
  <si>
    <t>running shoes</t>
  </si>
  <si>
    <t xml:space="preserve">Mumbai </t>
  </si>
  <si>
    <t xml:space="preserve">AMZ-10274 </t>
  </si>
  <si>
    <t>AMZ-10317</t>
  </si>
  <si>
    <t>AMZ-10363</t>
  </si>
  <si>
    <t>AMZ-10379</t>
  </si>
  <si>
    <t>AMZ-10382</t>
  </si>
  <si>
    <t>AMZ-10412</t>
  </si>
  <si>
    <t>AMZ-10482</t>
  </si>
  <si>
    <t xml:space="preserve">Kolkata </t>
  </si>
  <si>
    <t>AMZ-10486</t>
  </si>
  <si>
    <t>AMZ-10491</t>
  </si>
  <si>
    <t>delhi</t>
  </si>
  <si>
    <t>AMZ-10500</t>
  </si>
  <si>
    <t>AMZ-10002</t>
  </si>
  <si>
    <t>AMZ-10008</t>
  </si>
  <si>
    <t>AMZ-10029</t>
  </si>
  <si>
    <t>AMZ-10037</t>
  </si>
  <si>
    <t>AMZ-10056</t>
  </si>
  <si>
    <t>AMZ-10100</t>
  </si>
  <si>
    <t xml:space="preserve">Bluetooth Speaker </t>
  </si>
  <si>
    <t>AMZ-10104</t>
  </si>
  <si>
    <t>AMZ-10125</t>
  </si>
  <si>
    <t>AMZ-10133</t>
  </si>
  <si>
    <t>AMZ-10161</t>
  </si>
  <si>
    <t>AMZ-10176</t>
  </si>
  <si>
    <t xml:space="preserve">AMZ-10179 </t>
  </si>
  <si>
    <t>AMZ-10248</t>
  </si>
  <si>
    <t>AMZ-10271</t>
  </si>
  <si>
    <t>ADITYA IYER</t>
  </si>
  <si>
    <t>AMZ-10298</t>
  </si>
  <si>
    <t>ishaan gupta</t>
  </si>
  <si>
    <t>AMZ-10326</t>
  </si>
  <si>
    <t>AMZ-10390</t>
  </si>
  <si>
    <t xml:space="preserve">  Neha Patel </t>
  </si>
  <si>
    <t>AMZ-10411</t>
  </si>
  <si>
    <t>AMZ-10413</t>
  </si>
  <si>
    <t>AMZ-10417</t>
  </si>
  <si>
    <t>AMZ-10437</t>
  </si>
  <si>
    <t>AMZ-10465</t>
  </si>
  <si>
    <t xml:space="preserve">  Aditya Singh </t>
  </si>
  <si>
    <t>AMZ-10485</t>
  </si>
  <si>
    <t>AMZ-10020</t>
  </si>
  <si>
    <t>AMZ-10109</t>
  </si>
  <si>
    <t>AMZ-10201</t>
  </si>
  <si>
    <t>AMZ-10236</t>
  </si>
  <si>
    <t>AMZ-10266</t>
  </si>
  <si>
    <t>AMZ-10270</t>
  </si>
  <si>
    <t xml:space="preserve">  Sahil Sharma </t>
  </si>
  <si>
    <t>AMZ-10279</t>
  </si>
  <si>
    <t xml:space="preserve">  Air Fryer </t>
  </si>
  <si>
    <t>AMZ-10290</t>
  </si>
  <si>
    <t>AMZ-10388</t>
  </si>
  <si>
    <t xml:space="preserve">  Nikhil Reddy </t>
  </si>
  <si>
    <t>AMZ-10432</t>
  </si>
  <si>
    <t>MEERA RAO</t>
  </si>
  <si>
    <t>AMZ-10440</t>
  </si>
  <si>
    <t>AMZ-10042</t>
  </si>
  <si>
    <t>AMZ-10048</t>
  </si>
  <si>
    <t>AMZ-10075</t>
  </si>
  <si>
    <t>AMZ-10078</t>
  </si>
  <si>
    <t>LUCKNOW</t>
  </si>
  <si>
    <t>AMZ-10305</t>
  </si>
  <si>
    <t>AMZ-10308</t>
  </si>
  <si>
    <t xml:space="preserve">  Arjun Chopra </t>
  </si>
  <si>
    <t>AMZ-10332</t>
  </si>
  <si>
    <t>AMZ-10351</t>
  </si>
  <si>
    <t>WIRELESS EARBUDS</t>
  </si>
  <si>
    <t>AMZ-10355</t>
  </si>
  <si>
    <t>AMZ-10366</t>
  </si>
  <si>
    <t>AMZ-10380</t>
  </si>
  <si>
    <t>COTTON T-SHIRT</t>
  </si>
  <si>
    <t>AMZ-10006</t>
  </si>
  <si>
    <t>AMZ-10026</t>
  </si>
  <si>
    <t>AMZ-10077</t>
  </si>
  <si>
    <t>AMZ-10093</t>
  </si>
  <si>
    <t>AMZ-10135</t>
  </si>
  <si>
    <t>neha kulkarni</t>
  </si>
  <si>
    <t>AMZ-10143</t>
  </si>
  <si>
    <t>AMZ-10171</t>
  </si>
  <si>
    <t>AMZ-10211</t>
  </si>
  <si>
    <t>AMZ-10280</t>
  </si>
  <si>
    <t>WATER BOTTLE</t>
  </si>
  <si>
    <t>AMZ-10362</t>
  </si>
  <si>
    <t>AMZ-10395</t>
  </si>
  <si>
    <t>ARJUN CHOPRA</t>
  </si>
  <si>
    <t>AMZ-10407</t>
  </si>
  <si>
    <t>AMZ-10428</t>
  </si>
  <si>
    <t xml:space="preserve">AMZ-10459 </t>
  </si>
  <si>
    <t>AMZ-10467</t>
  </si>
  <si>
    <t>hyderabad</t>
  </si>
  <si>
    <t>AMZ-10023</t>
  </si>
  <si>
    <t>AMZ-10032</t>
  </si>
  <si>
    <t xml:space="preserve">  Priya Reddy </t>
  </si>
  <si>
    <t>mumbai</t>
  </si>
  <si>
    <t>AMZ-10089</t>
  </si>
  <si>
    <t>AMZ-10091</t>
  </si>
  <si>
    <t>TANVI VERMA</t>
  </si>
  <si>
    <t>AMZ-10098</t>
  </si>
  <si>
    <t>nikhil rao</t>
  </si>
  <si>
    <t>AMZ-10111</t>
  </si>
  <si>
    <t>AMZ-10184</t>
  </si>
  <si>
    <t>AMZ-10249</t>
  </si>
  <si>
    <t xml:space="preserve">Water Bottle </t>
  </si>
  <si>
    <t>AMZ-10263</t>
  </si>
  <si>
    <t>AMZ-10275</t>
  </si>
  <si>
    <t>AMZ-10292</t>
  </si>
  <si>
    <t>AMZ-10306</t>
  </si>
  <si>
    <t xml:space="preserve">AMZ-10343 </t>
  </si>
  <si>
    <t>AMZ-10376</t>
  </si>
  <si>
    <t>aditya kulkarni</t>
  </si>
  <si>
    <t>AMZ-10384</t>
  </si>
  <si>
    <t xml:space="preserve">  Aarav Joshi </t>
  </si>
  <si>
    <t>AMZ-10004</t>
  </si>
  <si>
    <t>AMZ-10094</t>
  </si>
  <si>
    <t xml:space="preserve">  Ahmedabad </t>
  </si>
  <si>
    <t>AMZ-10110</t>
  </si>
  <si>
    <t>AMZ-10121</t>
  </si>
  <si>
    <t>AMZ-10132</t>
  </si>
  <si>
    <t>aarav das</t>
  </si>
  <si>
    <t xml:space="preserve">  Jaipur </t>
  </si>
  <si>
    <t>AMZ-10152</t>
  </si>
  <si>
    <t>AMZ-10167</t>
  </si>
  <si>
    <t>SMART WATCH</t>
  </si>
  <si>
    <t>AMZ-10229</t>
  </si>
  <si>
    <t>AMZ-10230</t>
  </si>
  <si>
    <t>AMZ-10243</t>
  </si>
  <si>
    <t>AMZ-10261</t>
  </si>
  <si>
    <t>AMZ-10311</t>
  </si>
  <si>
    <t>CASUAL SNEAKERS</t>
  </si>
  <si>
    <t xml:space="preserve">Hyderabad </t>
  </si>
  <si>
    <t>AMZ-10312</t>
  </si>
  <si>
    <t>AMZ-10336</t>
  </si>
  <si>
    <t>AMZ-10337</t>
  </si>
  <si>
    <t>AMZ-10361</t>
  </si>
  <si>
    <t>AMZ-10369</t>
  </si>
  <si>
    <t>AMZ-10397</t>
  </si>
  <si>
    <t>ishaan chopra</t>
  </si>
  <si>
    <t xml:space="preserve">  Mumbai </t>
  </si>
  <si>
    <t>AMZ-10423</t>
  </si>
  <si>
    <t>AMZ-10490</t>
  </si>
  <si>
    <t>lucknow</t>
  </si>
  <si>
    <t>AMZ-10050</t>
  </si>
  <si>
    <t>AMZ-10090</t>
  </si>
  <si>
    <t xml:space="preserve">  Sandals </t>
  </si>
  <si>
    <t>AMZ-10120</t>
  </si>
  <si>
    <t>AMZ-10122</t>
  </si>
  <si>
    <t>AMZ-10140</t>
  </si>
  <si>
    <t>wireless earbuds</t>
  </si>
  <si>
    <t>AMZ-10191</t>
  </si>
  <si>
    <t>AMZ-10212</t>
  </si>
  <si>
    <t>AMZ-10258</t>
  </si>
  <si>
    <t>AMZ-10296</t>
  </si>
  <si>
    <t>AMZ-10309</t>
  </si>
  <si>
    <t>AMZ-10310</t>
  </si>
  <si>
    <t>AMZ-10330</t>
  </si>
  <si>
    <t>AMZ-10368</t>
  </si>
  <si>
    <t>BANGALORE</t>
  </si>
  <si>
    <t>AMZ-10378</t>
  </si>
  <si>
    <t>AMZ-10385</t>
  </si>
  <si>
    <t xml:space="preserve">  Arjun Verma </t>
  </si>
  <si>
    <t>AMZ-10386</t>
  </si>
  <si>
    <t xml:space="preserve">AMZ-10403 </t>
  </si>
  <si>
    <t>AMZ-10445</t>
  </si>
  <si>
    <t>AMZ-10446</t>
  </si>
  <si>
    <t xml:space="preserve">  Water Bottle </t>
  </si>
  <si>
    <t>AMZ-10470</t>
  </si>
  <si>
    <t xml:space="preserve">  Denim Jeans </t>
  </si>
  <si>
    <t>AMZ-10487</t>
  </si>
  <si>
    <t>AMZ-10172</t>
  </si>
  <si>
    <t xml:space="preserve">AMZ-10178 </t>
  </si>
  <si>
    <t>jaipur</t>
  </si>
  <si>
    <t>AMZ-10180</t>
  </si>
  <si>
    <t>AMZ-10246</t>
  </si>
  <si>
    <t xml:space="preserve">Running Shoes </t>
  </si>
  <si>
    <t>AMZ-10254</t>
  </si>
  <si>
    <t>AMZ-10281</t>
  </si>
  <si>
    <t>smart watch</t>
  </si>
  <si>
    <t>AMZ-10302</t>
  </si>
  <si>
    <t>AMZ-10321</t>
  </si>
  <si>
    <t xml:space="preserve">Casual Sneakers </t>
  </si>
  <si>
    <t>AMZ-10344</t>
  </si>
  <si>
    <t>AMZ-10350</t>
  </si>
  <si>
    <t>AMZ-10383</t>
  </si>
  <si>
    <t>DELHI</t>
  </si>
  <si>
    <t>AMZ-10409</t>
  </si>
  <si>
    <t>AMZ-10449</t>
  </si>
  <si>
    <t>AMZ-10492</t>
  </si>
  <si>
    <t>AARAV DAS</t>
  </si>
  <si>
    <t>AMZ-10011</t>
  </si>
  <si>
    <t>AMZ-10016</t>
  </si>
  <si>
    <t>AMZ-10058</t>
  </si>
  <si>
    <t>nikhil reddy</t>
  </si>
  <si>
    <t>AMZ-10068</t>
  </si>
  <si>
    <t xml:space="preserve">  Bangalore </t>
  </si>
  <si>
    <t>AMZ-10082</t>
  </si>
  <si>
    <t>AMZ-10106</t>
  </si>
  <si>
    <t>AMZ-10264</t>
  </si>
  <si>
    <t>AMZ-10307</t>
  </si>
  <si>
    <t>AMZ-10360</t>
  </si>
  <si>
    <t xml:space="preserve">Cotton T-Shirt </t>
  </si>
  <si>
    <t>AMZ-10372</t>
  </si>
  <si>
    <t>AMZ-10404</t>
  </si>
  <si>
    <t>vikram iyer</t>
  </si>
  <si>
    <t>AMZ-10405</t>
  </si>
  <si>
    <t>AMZ-10415</t>
  </si>
  <si>
    <t>AMZ-10420</t>
  </si>
  <si>
    <t>AMZ-10424</t>
  </si>
  <si>
    <t>AMZ-10435</t>
  </si>
  <si>
    <t>AMZ-10469</t>
  </si>
  <si>
    <t>AHMEDABAD</t>
  </si>
  <si>
    <t>AMZ-10495</t>
  </si>
  <si>
    <t>AMZ-10496</t>
  </si>
  <si>
    <t>AMZ-10003</t>
  </si>
  <si>
    <t>AMZ-10067</t>
  </si>
  <si>
    <t>AMZ-10076</t>
  </si>
  <si>
    <t>AMZ-10139</t>
  </si>
  <si>
    <t>AMZ-10150</t>
  </si>
  <si>
    <t>MUMBAI</t>
  </si>
  <si>
    <t>AMZ-10170</t>
  </si>
  <si>
    <t>AMZ-10203</t>
  </si>
  <si>
    <t>AMZ-10206</t>
  </si>
  <si>
    <t>AMZ-10232</t>
  </si>
  <si>
    <t>AMZ-10244</t>
  </si>
  <si>
    <t>vikram joshi</t>
  </si>
  <si>
    <t>AMZ-10283</t>
  </si>
  <si>
    <t>AMZ-10295</t>
  </si>
  <si>
    <t>AMZ-10318</t>
  </si>
  <si>
    <t>AMZ-10394</t>
  </si>
  <si>
    <t>AMZ-10418</t>
  </si>
  <si>
    <t>AMZ-10421</t>
  </si>
  <si>
    <t xml:space="preserve">AMZ-10430 </t>
  </si>
  <si>
    <t>AMZ-10450</t>
  </si>
  <si>
    <t>AMZ-10472</t>
  </si>
  <si>
    <t xml:space="preserve">  Divya Singh </t>
  </si>
  <si>
    <t>AMZ-10481</t>
  </si>
  <si>
    <t>AMZ-10499</t>
  </si>
  <si>
    <t>AMZ-10010</t>
  </si>
  <si>
    <t>AMZ-10012</t>
  </si>
  <si>
    <t>AMZ-10013</t>
  </si>
  <si>
    <t>AMZ-10041</t>
  </si>
  <si>
    <t xml:space="preserve">  Vivaan Joshi </t>
  </si>
  <si>
    <t>AMZ-10053</t>
  </si>
  <si>
    <t>AMZ-10057</t>
  </si>
  <si>
    <t>AMZ-10060</t>
  </si>
  <si>
    <t>AMZ-10061</t>
  </si>
  <si>
    <t>AMZ-10062</t>
  </si>
  <si>
    <t xml:space="preserve">  Pune </t>
  </si>
  <si>
    <t>AMZ-10063</t>
  </si>
  <si>
    <t>AMZ-10065</t>
  </si>
  <si>
    <t>air fryer</t>
  </si>
  <si>
    <t>AMZ-10096</t>
  </si>
  <si>
    <t>PUNE</t>
  </si>
  <si>
    <t>AMZ-10114</t>
  </si>
  <si>
    <t>AMZ-10134</t>
  </si>
  <si>
    <t>AMZ-10148</t>
  </si>
  <si>
    <t>AMZ-10157</t>
  </si>
  <si>
    <t>AMZ-10168</t>
  </si>
  <si>
    <t>AMZ-10173</t>
  </si>
  <si>
    <t>AMZ-10187</t>
  </si>
  <si>
    <t>AMZ-10208</t>
  </si>
  <si>
    <t>AMZ-10221</t>
  </si>
  <si>
    <t>AMZ-10223</t>
  </si>
  <si>
    <t>AMZ-10240</t>
  </si>
  <si>
    <t>AMZ-10267</t>
  </si>
  <si>
    <t xml:space="preserve">AMZ-10339 </t>
  </si>
  <si>
    <t>AMZ-10387</t>
  </si>
  <si>
    <t>AMZ-10391</t>
  </si>
  <si>
    <t>AMZ-10426</t>
  </si>
  <si>
    <t>SURESH DAS</t>
  </si>
  <si>
    <t>AMZ-10447</t>
  </si>
  <si>
    <t>AMZ-10454</t>
  </si>
  <si>
    <t>AMZ-10458</t>
  </si>
  <si>
    <t>AMZ-10015</t>
  </si>
  <si>
    <t>AMZ-10102</t>
  </si>
  <si>
    <t>AMZ-10137</t>
  </si>
  <si>
    <t>AMZ-10151</t>
  </si>
  <si>
    <t>AMZ-10202</t>
  </si>
  <si>
    <t>AMZ-10259</t>
  </si>
  <si>
    <t>AMZ-10303</t>
  </si>
  <si>
    <t>AMZ-10314</t>
  </si>
  <si>
    <t xml:space="preserve">  Cotton T-Shirt </t>
  </si>
  <si>
    <t>AMZ-10342</t>
  </si>
  <si>
    <t xml:space="preserve">  Casual Sneakers </t>
  </si>
  <si>
    <t>AMZ-10347</t>
  </si>
  <si>
    <t>AMZ-10436</t>
  </si>
  <si>
    <t>aarav joshi</t>
  </si>
  <si>
    <t>AMZ-10438</t>
  </si>
  <si>
    <t>AMZ-10019</t>
  </si>
  <si>
    <t>AMZ-10047</t>
  </si>
  <si>
    <t>AMZ-10092</t>
  </si>
  <si>
    <t>AMZ-10159</t>
  </si>
  <si>
    <t>AMZ-10185</t>
  </si>
  <si>
    <t>AMZ-10213</t>
  </si>
  <si>
    <t>AMZ-10219</t>
  </si>
  <si>
    <t xml:space="preserve">AMZ-10265 </t>
  </si>
  <si>
    <t>AMZ-10297</t>
  </si>
  <si>
    <t>AMZ-10320</t>
  </si>
  <si>
    <t>AMZ-10434</t>
  </si>
  <si>
    <t>AMZ-10480</t>
  </si>
  <si>
    <t>AMZ-10025</t>
  </si>
  <si>
    <t>AMZ-10095</t>
  </si>
  <si>
    <t>AMZ-10105</t>
  </si>
  <si>
    <t>AMZ-10115</t>
  </si>
  <si>
    <t>AMZ-10149</t>
  </si>
  <si>
    <t>AMZ-10165</t>
  </si>
  <si>
    <t>AMZ-10177</t>
  </si>
  <si>
    <t>AMZ-10227</t>
  </si>
  <si>
    <t>water bottle</t>
  </si>
  <si>
    <t>AMZ-10285</t>
  </si>
  <si>
    <t>AMZ-10324</t>
  </si>
  <si>
    <t>AMZ-10325</t>
  </si>
  <si>
    <t>AMZ-10328</t>
  </si>
  <si>
    <t>AMZ-10374</t>
  </si>
  <si>
    <t>AMZ-10381</t>
  </si>
  <si>
    <t>AMZ-10441</t>
  </si>
  <si>
    <t>sandals</t>
  </si>
  <si>
    <t>AMZ-10451</t>
  </si>
  <si>
    <t>AMZ-10453</t>
  </si>
  <si>
    <t>AMZ-10457</t>
  </si>
  <si>
    <t>AMZ-10463</t>
  </si>
  <si>
    <t>AMZ-10493</t>
  </si>
  <si>
    <t>AMZ-10018</t>
  </si>
  <si>
    <t>AMZ-10021</t>
  </si>
  <si>
    <t>AMZ-10022</t>
  </si>
  <si>
    <t>AMZ-10034</t>
  </si>
  <si>
    <t>AMZ-10069</t>
  </si>
  <si>
    <t>AMZ-10079</t>
  </si>
  <si>
    <t>ANJALI MEHTA</t>
  </si>
  <si>
    <t>AMZ-10084</t>
  </si>
  <si>
    <t>AMZ-10107</t>
  </si>
  <si>
    <t>AMZ-10117</t>
  </si>
  <si>
    <t>DENIM JEANS</t>
  </si>
  <si>
    <t>AMZ-10119</t>
  </si>
  <si>
    <t>AMZ-10193</t>
  </si>
  <si>
    <t>AMZ-10198</t>
  </si>
  <si>
    <t>AMZ-10313</t>
  </si>
  <si>
    <t>AMZ-10340</t>
  </si>
  <si>
    <t>AMZ-10425</t>
  </si>
  <si>
    <t>AMZ-10443</t>
  </si>
  <si>
    <t>AMZ-10448</t>
  </si>
  <si>
    <t>PYTHON PROGRAMMING BOOK</t>
  </si>
  <si>
    <t>AMZ-10464</t>
  </si>
  <si>
    <t>AMZ-10473</t>
  </si>
  <si>
    <t>AMZ-10494</t>
  </si>
  <si>
    <t>AMZ-10498</t>
  </si>
  <si>
    <t>AMZ-10073</t>
  </si>
  <si>
    <t>AMZ-10080</t>
  </si>
  <si>
    <t>AMZ-10116</t>
  </si>
  <si>
    <t>AMZ-10124</t>
  </si>
  <si>
    <t>AMZ-10126</t>
  </si>
  <si>
    <t>AMZ-10210</t>
  </si>
  <si>
    <t>AMZ-10225</t>
  </si>
  <si>
    <t>AMZ-10228</t>
  </si>
  <si>
    <t>AMZ-10253</t>
  </si>
  <si>
    <t>AMZ-10289</t>
  </si>
  <si>
    <t>AMZ-10322</t>
  </si>
  <si>
    <t>AMZ-10422</t>
  </si>
  <si>
    <t>AMZ-10429</t>
  </si>
  <si>
    <t>AMZ-10431</t>
  </si>
  <si>
    <t>AMZ-10462</t>
  </si>
  <si>
    <t xml:space="preserve">Python Programming Book </t>
  </si>
  <si>
    <t>AMZ-10488</t>
  </si>
  <si>
    <t>AMZ-10031</t>
  </si>
  <si>
    <t>AMZ-10043</t>
  </si>
  <si>
    <t>AMZ-10074</t>
  </si>
  <si>
    <t>AMZ-10085</t>
  </si>
  <si>
    <t xml:space="preserve">  Pooja Gupta </t>
  </si>
  <si>
    <t>AMZ-10086</t>
  </si>
  <si>
    <t>AMZ-10087</t>
  </si>
  <si>
    <t>AMZ-10101</t>
  </si>
  <si>
    <t>AMZ-10108</t>
  </si>
  <si>
    <t>AMZ-10155</t>
  </si>
  <si>
    <t>AMZ-10164</t>
  </si>
  <si>
    <t>VIKRAM IYER</t>
  </si>
  <si>
    <t>AMZ-10209</t>
  </si>
  <si>
    <t xml:space="preserve">Mixer Grinder </t>
  </si>
  <si>
    <t>AMZ-10217</t>
  </si>
  <si>
    <t>AMZ-10224</t>
  </si>
  <si>
    <t>AMZ-10262</t>
  </si>
  <si>
    <t>AMZ-10327</t>
  </si>
  <si>
    <t xml:space="preserve">Pune </t>
  </si>
  <si>
    <t xml:space="preserve">AMZ-10346 </t>
  </si>
  <si>
    <t>AMZ-10370</t>
  </si>
  <si>
    <t>AMZ-10419</t>
  </si>
  <si>
    <t>AMZ-10442</t>
  </si>
  <si>
    <t>AMZ-10466</t>
  </si>
  <si>
    <t>AMZ-10468</t>
  </si>
  <si>
    <t>AMZ-10471</t>
  </si>
  <si>
    <t>AMZ-10049</t>
  </si>
  <si>
    <t>AMZ-10051</t>
  </si>
  <si>
    <t>AMZ-10072</t>
  </si>
  <si>
    <t xml:space="preserve">  Meera Mehta </t>
  </si>
  <si>
    <t>AMZ-10146</t>
  </si>
  <si>
    <t xml:space="preserve">  Priya Iyer </t>
  </si>
  <si>
    <t>AMZ-10147</t>
  </si>
  <si>
    <t>AMZ-10153</t>
  </si>
  <si>
    <t>AMZ-10207</t>
  </si>
  <si>
    <t xml:space="preserve">AMZ-10226 </t>
  </si>
  <si>
    <t>AMZ-10235</t>
  </si>
  <si>
    <t>AMZ-10278</t>
  </si>
  <si>
    <t>AMZ-10345</t>
  </si>
  <si>
    <t>AMZ-10349</t>
  </si>
  <si>
    <t>AMZ-10352</t>
  </si>
  <si>
    <t>AMZ-10354</t>
  </si>
  <si>
    <t>AMZ-10359</t>
  </si>
  <si>
    <t>SAHIL SHARMA</t>
  </si>
  <si>
    <t>AMZ-10371</t>
  </si>
  <si>
    <t>AMZ-10392</t>
  </si>
  <si>
    <t>AMZ-10489</t>
  </si>
  <si>
    <t>AMZ-10197</t>
  </si>
  <si>
    <t>AMZ-10365</t>
  </si>
  <si>
    <t xml:space="preserve">AMZ-10373 </t>
  </si>
  <si>
    <t>AMZ-10399</t>
  </si>
  <si>
    <t xml:space="preserve">  Aarav Das </t>
  </si>
  <si>
    <t>AMZ-10406</t>
  </si>
  <si>
    <t>AMZ-10054</t>
  </si>
  <si>
    <t>AMZ-10097</t>
  </si>
  <si>
    <t>AMZ-10158</t>
  </si>
  <si>
    <t>AMZ-10169</t>
  </si>
  <si>
    <t>priya joshi</t>
  </si>
  <si>
    <t>AMZ-10181</t>
  </si>
  <si>
    <t>AMZ-10190</t>
  </si>
  <si>
    <t>suresh nair</t>
  </si>
  <si>
    <t>AMZ-10199</t>
  </si>
  <si>
    <t xml:space="preserve">  Python Programming Book </t>
  </si>
  <si>
    <t>AMZ-10200</t>
  </si>
  <si>
    <t>AMZ-10256</t>
  </si>
  <si>
    <t>AMZ-10268</t>
  </si>
  <si>
    <t>AMZ-10304</t>
  </si>
  <si>
    <t>AMZ-10315</t>
  </si>
  <si>
    <t>AMZ-10393</t>
  </si>
  <si>
    <t>AMZ-10461</t>
  </si>
  <si>
    <t>AMZ-10118</t>
  </si>
  <si>
    <t>AMZ-10175</t>
  </si>
  <si>
    <t>AMZ-10205</t>
  </si>
  <si>
    <t xml:space="preserve">  Wireless Earbuds </t>
  </si>
  <si>
    <t>AMZ-10215</t>
  </si>
  <si>
    <t>AMZ-10216</t>
  </si>
  <si>
    <t>AMZ-10233</t>
  </si>
  <si>
    <t>AMZ-10238</t>
  </si>
  <si>
    <t>AMZ-10300</t>
  </si>
  <si>
    <t>AMZ-10323</t>
  </si>
  <si>
    <t>AMZ-10357</t>
  </si>
  <si>
    <t>AMZ-10377</t>
  </si>
  <si>
    <t>AMZ-10408</t>
  </si>
  <si>
    <t>AMZ-10433</t>
  </si>
  <si>
    <t>AMZ-10456</t>
  </si>
  <si>
    <t>AMZ-10483</t>
  </si>
  <si>
    <t>AMZ-10009</t>
  </si>
  <si>
    <t>AMZ-10017</t>
  </si>
  <si>
    <t>AMZ-10027</t>
  </si>
  <si>
    <t xml:space="preserve">AMZ-10035 </t>
  </si>
  <si>
    <t>AMZ-10039</t>
  </si>
  <si>
    <t>AMZ-10131</t>
  </si>
  <si>
    <t>AMZ-10136</t>
  </si>
  <si>
    <t>AMZ-10160</t>
  </si>
  <si>
    <t>AMZ-10174</t>
  </si>
  <si>
    <t xml:space="preserve">  Aditya Kulkarni </t>
  </si>
  <si>
    <t>AMZ-10222</t>
  </si>
  <si>
    <t>AMZ-10234</t>
  </si>
  <si>
    <t>AMZ-10239</t>
  </si>
  <si>
    <t xml:space="preserve">  Tanvi Verma </t>
  </si>
  <si>
    <t>AMZ-10247</t>
  </si>
  <si>
    <t>AMZ-10251</t>
  </si>
  <si>
    <t>AMZ-10294</t>
  </si>
  <si>
    <t>AMZ-10439</t>
  </si>
  <si>
    <t>AMZ-10444</t>
  </si>
  <si>
    <t xml:space="preserve">  Sneha Singh </t>
  </si>
  <si>
    <t>AMZ-10014</t>
  </si>
  <si>
    <t>AMZ-10064</t>
  </si>
  <si>
    <t>AMZ-10088</t>
  </si>
  <si>
    <t>AMZ-10099</t>
  </si>
  <si>
    <t>AMZ-10128</t>
  </si>
  <si>
    <t>AMZ-10129</t>
  </si>
  <si>
    <t>POWER BANK</t>
  </si>
  <si>
    <t>AMZ-10156</t>
  </si>
  <si>
    <t>AMZ-10214</t>
  </si>
  <si>
    <t>AMZ-10231</t>
  </si>
  <si>
    <t>AMZ-10241</t>
  </si>
  <si>
    <t>AMZ-10316</t>
  </si>
  <si>
    <t>AMZ-10335</t>
  </si>
  <si>
    <t>AMZ-10341</t>
  </si>
  <si>
    <t>AMZ-10367</t>
  </si>
  <si>
    <t>AMZ-10389</t>
  </si>
  <si>
    <t>AMZ-10427</t>
  </si>
  <si>
    <t>AMZ-10007</t>
  </si>
  <si>
    <t>AMZ-10030</t>
  </si>
  <si>
    <t>AMZ-10138</t>
  </si>
  <si>
    <t xml:space="preserve">AMZ-10141 </t>
  </si>
  <si>
    <t>AMZ-10142</t>
  </si>
  <si>
    <t>NIKHIL REDDY</t>
  </si>
  <si>
    <t>AMZ-10162</t>
  </si>
  <si>
    <t>AMZ-10186</t>
  </si>
  <si>
    <t>AMZ-10192</t>
  </si>
  <si>
    <t>AMZ-10194</t>
  </si>
  <si>
    <t>AMZ-10195</t>
  </si>
  <si>
    <t>AMZ-10242</t>
  </si>
  <si>
    <t xml:space="preserve">  Chennai </t>
  </si>
  <si>
    <t>AMZ-10286</t>
  </si>
  <si>
    <t>AMZ-10299</t>
  </si>
  <si>
    <t>AMZ-10338</t>
  </si>
  <si>
    <t>AMZ-10400</t>
  </si>
  <si>
    <t>priya iyer</t>
  </si>
  <si>
    <t>AMZ-10401</t>
  </si>
  <si>
    <t>AMZ-10475</t>
  </si>
  <si>
    <t>cotton t-shirt</t>
  </si>
  <si>
    <t>AMZ-10038</t>
  </si>
  <si>
    <t>AMZ-10059</t>
  </si>
  <si>
    <t xml:space="preserve">  Kolkata </t>
  </si>
  <si>
    <t>AMZ-10070</t>
  </si>
  <si>
    <t>AMZ-10071</t>
  </si>
  <si>
    <t xml:space="preserve">Jaipur </t>
  </si>
  <si>
    <t>AMZ-10154</t>
  </si>
  <si>
    <t>AMZ-10277</t>
  </si>
  <si>
    <t>AMZ-10282</t>
  </si>
  <si>
    <t>AMZ-10293</t>
  </si>
  <si>
    <t>AMZ-10358</t>
  </si>
  <si>
    <t>AMZ-10416</t>
  </si>
  <si>
    <t>priya das</t>
  </si>
  <si>
    <t>AMZ-10024</t>
  </si>
  <si>
    <t>AMZ-10130</t>
  </si>
  <si>
    <t>AMZ-10166</t>
  </si>
  <si>
    <t>AMZ-10183</t>
  </si>
  <si>
    <t>AMZ-10189</t>
  </si>
  <si>
    <t xml:space="preserve">  Power Bank </t>
  </si>
  <si>
    <t>AMZ-10276</t>
  </si>
  <si>
    <t>AMZ-10287</t>
  </si>
  <si>
    <t>AMZ-10331</t>
  </si>
  <si>
    <t>AMZ-10334</t>
  </si>
  <si>
    <t>AMZ-10348</t>
  </si>
  <si>
    <t>AMZ-10356</t>
  </si>
  <si>
    <t>AMZ-10375</t>
  </si>
  <si>
    <t>AMZ-10402</t>
  </si>
  <si>
    <t xml:space="preserve">Ahmedabad </t>
  </si>
  <si>
    <t>AMZ-10476</t>
  </si>
  <si>
    <t>Insights &amp; Recommendations</t>
  </si>
  <si>
    <t>Computed from ALL data (not affected by Dashboard filters). Text updates automatically if the data changes.</t>
  </si>
  <si>
    <t>Question</t>
  </si>
  <si>
    <t>Finding</t>
  </si>
  <si>
    <t>Highest-selling product</t>
  </si>
  <si>
    <t>Lowest-selling product</t>
  </si>
  <si>
    <t>Best category</t>
  </si>
  <si>
    <t>Weakest category</t>
  </si>
  <si>
    <t>Strongest city</t>
  </si>
  <si>
    <t>Weakest city</t>
  </si>
  <si>
    <t>Most-used payment method (by sales)</t>
  </si>
  <si>
    <t>Order status split</t>
  </si>
  <si>
    <t>Delivered : Cancelled ratio</t>
  </si>
  <si>
    <t>Total sales lost to cancellations</t>
  </si>
  <si>
    <t>Top customer</t>
  </si>
  <si>
    <t>Recommendations</t>
  </si>
  <si>
    <t>1. Keep top products and best category well stocked and advertised; they drive the largest share of revenue.</t>
  </si>
  <si>
    <t>2. Investigate the weakest cities and categories – test local promotions, faster delivery options or price changes.</t>
  </si>
  <si>
    <t>3. Reduce cancellations: review the cancelled orders by product/city, tighten stock accuracy and confirm Cash On Delivery orders before dispatch.</t>
  </si>
  <si>
    <t>4. Follow up on Pending/Shipped orders so they convert to Delivered within the promised window.</t>
  </si>
  <si>
    <t>5. Promote the most-used digital payment methods (e.g. UPI offers) and nudge COD customers to prepay.</t>
  </si>
  <si>
    <t>6. Run loyalty / repeat-purchase offers for the top-10 customers who contribute a disproportionate share of sales.</t>
  </si>
  <si>
    <t>Amazon Sales Performance Analysis – Excel Project</t>
  </si>
  <si>
    <t>IMPORTANT – sample data</t>
  </si>
  <si>
    <t>The original Google Drive dataset could not be opened here, so Raw_Data contains a generated SAMPLE dataset (one month, Sep 2026, same columns as the case study + Payment Method and Order Status). To use your real data: paste it into Raw_Data (same column order, starting A2), then extend the Cleaned_Data formulas down to match the row count.</t>
  </si>
  <si>
    <t>Sheets</t>
  </si>
  <si>
    <t>Dashboard → KPIs, 6 charts, 4 dropdown filters (Category, Location, Order Status, Month)
Pivots → Category, Product, City, Payment, Status, Customer summary tables + Top 10 customers
Cleaned_Data → formula-cleaned copy of Raw_Data with calculated fields
Raw_Data → data as received (duplicates, stray spaces, mixed case, wrong totals)
Insights → auto-updating findings and recommendations</t>
  </si>
  <si>
    <t>Data cleaning done</t>
  </si>
  <si>
    <t>• Removed 15 duplicate orders (Raw_Data has 515 rows → Cleaned_Data has 500)
• TRIM / PROPER applied to Product, Customer Name, Location, Status; TRIM on Order ID, Category, Payment
• Dates stored as real dates; Price, Quantity, Total Sales as numbers
• Total Sales recalculated as Price × Quantity; Validation column shows 'Corrected' where Raw_Data's total was wrong</t>
  </si>
  <si>
    <t>Calculated fields</t>
  </si>
  <si>
    <t>Month =TEXT(Date,"MMM") · Day of Week =TEXT(Date,"ddd") · Status Flag groups Shipped with Pending (Delivered / Cancelled / Pending)</t>
  </si>
  <si>
    <t>About the 'PivotTables'</t>
  </si>
  <si>
    <t>The summary tables on the Pivots sheet are built with SUMIFS/COUNTIFS so they are fully formula-driven and respond to the Dashboard dropdowns. If you want native PivotTables/Slicers, select Cleaned_Data → Insert → PivotTable and Insert → Slicer.</t>
  </si>
  <si>
    <t>Notes</t>
  </si>
  <si>
    <t>Total Sales includes all orders (also cancelled). Order Status table ignores the Status filter. 'All' = no filter. Yellow cells = inputs.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</si>
</sst>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;&quot;(₹&quot;#,##0\);\-"/>
    <numFmt numFmtId="165" formatCode="0.0%"/>
    <numFmt numFmtId="166" formatCode="0.000000"/>
    <numFmt numFmtId="167" formatCode="dd\-mmm\-yyyy"/>
  </numFmts>
  <fonts count="15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b/>
      <sz val="9"/>
      <color rgb="FFFFFFFF"/>
      <name val="Arial"/>
      <charset val="1"/>
    </font>
    <font>
      <b/>
      <sz val="14"/>
      <color rgb="FF1F4E78"/>
      <name val="Arial"/>
      <charset val="1"/>
    </font>
    <font>
      <b/>
      <sz val="13"/>
      <name val="Arial"/>
      <charset val="1"/>
    </font>
    <font>
      <sz val="10"/>
      <color rgb="FF008000"/>
      <name val="Arial"/>
      <charset val="1"/>
    </font>
    <font>
      <i/>
      <sz val="9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6"/>
      <name val="Arial"/>
      <charset val="1"/>
    </font>
    <font>
      <b/>
      <sz val="12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32F3E"/>
        <bgColor rgb="FF333300"/>
      </patternFill>
    </fill>
    <fill>
      <patternFill patternType="solid">
        <fgColor rgb="FFFFF2CC"/>
        <bgColor rgb="FFF9F9F9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2" fillId="0" borderId="0" xfId="0" applyFont="1" applyAlignment="1">
      <alignment vertical="top" wrapText="1"/>
    </xf>
    <xf numFmtId="0" fontId="3" fillId="0" borderId="0" xfId="0" applyFont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164" fontId="6" fillId="5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4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164" fontId="12" fillId="0" borderId="1" xfId="0" applyNumberFormat="1" applyFont="1" applyBorder="1"/>
    <xf numFmtId="3" fontId="12" fillId="0" borderId="1" xfId="0" applyNumberFormat="1" applyFont="1" applyBorder="1"/>
    <xf numFmtId="165" fontId="12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3" fontId="3" fillId="0" borderId="1" xfId="0" applyNumberFormat="1" applyFont="1" applyBorder="1"/>
    <xf numFmtId="165" fontId="3" fillId="0" borderId="1" xfId="0" applyNumberFormat="1" applyFont="1" applyBorder="1"/>
    <xf numFmtId="166" fontId="12" fillId="0" borderId="1" xfId="0" applyNumberFormat="1" applyFont="1" applyBorder="1"/>
    <xf numFmtId="166" fontId="3" fillId="0" borderId="1" xfId="0" applyNumberFormat="1" applyFont="1" applyBorder="1"/>
    <xf numFmtId="0" fontId="12" fillId="0" borderId="0" xfId="0" applyFont="1"/>
    <xf numFmtId="167" fontId="12" fillId="0" borderId="0" xfId="0" applyNumberFormat="1" applyFont="1"/>
    <xf numFmtId="3" fontId="12" fillId="0" borderId="0" xfId="0" applyNumberFormat="1" applyFont="1"/>
    <xf numFmtId="0" fontId="13" fillId="0" borderId="0" xfId="0" applyFont="1"/>
    <xf numFmtId="0" fontId="3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4" fillId="0" borderId="0" xfId="0" applyFont="1"/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12" fillId="0" borderId="0" xfId="0" applyFont="1" applyAlignment="1">
      <alignment vertical="top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595959"/>
      <rgbColor rgb="FF1F4E78"/>
      <rgbColor rgb="FF232F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Sales by Category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Pivots!$A$11:$A$15</c:f>
              <c:strCache>
                <c:ptCount val="5"/>
                <c:pt idx="0">
                  <c:v>Electronics</c:v>
                </c:pt>
                <c:pt idx="1">
                  <c:v>Home &amp; Kitchen</c:v>
                </c:pt>
                <c:pt idx="2">
                  <c:v>Footwear</c:v>
                </c:pt>
                <c:pt idx="3">
                  <c:v>Clothing</c:v>
                </c:pt>
                <c:pt idx="4">
                  <c:v>Books</c:v>
                </c:pt>
              </c:strCache>
            </c:strRef>
          </c:cat>
          <c:val>
            <c:numRef>
              <c:f>Pivots!$B$11:$B$15</c:f>
              <c:numCache>
                <c:formatCode>\₹#,##0;"(₹"#,##0\);\-</c:formatCode>
                <c:ptCount val="5"/>
                <c:pt idx="0">
                  <c:v>595070</c:v>
                </c:pt>
                <c:pt idx="1">
                  <c:v>416310</c:v>
                </c:pt>
                <c:pt idx="2">
                  <c:v>356943</c:v>
                </c:pt>
                <c:pt idx="3">
                  <c:v>136083</c:v>
                </c:pt>
                <c:pt idx="4">
                  <c:v>60384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8-4F77-B1B3-DCA951E4B1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7005023"/>
        <c:axId val="94700962"/>
      </c:barChart>
      <c:catAx>
        <c:axId val="6700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700962"/>
        <c:crosses val="autoZero"/>
        <c:auto val="1"/>
        <c:lblAlgn val="ctr"/>
        <c:lblOffset val="100"/>
        <c:noMultiLvlLbl val="0"/>
      </c:catAx>
      <c:valAx>
        <c:axId val="947009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0050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Sales by Product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265041692289829"/>
          <c:y val="0.22139293981465347"/>
          <c:w val="0.58145606935670457"/>
          <c:h val="0.762681343766474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Pivots!$A$21:$A$34</c:f>
              <c:strCache>
                <c:ptCount val="14"/>
                <c:pt idx="0">
                  <c:v>Smart Watch</c:v>
                </c:pt>
                <c:pt idx="1">
                  <c:v>Running Shoes</c:v>
                </c:pt>
                <c:pt idx="2">
                  <c:v>Mixer Grinder</c:v>
                </c:pt>
                <c:pt idx="3">
                  <c:v>Wireless Earbuds</c:v>
                </c:pt>
                <c:pt idx="4">
                  <c:v>Air Fryer</c:v>
                </c:pt>
                <c:pt idx="5">
                  <c:v>Casual Sneakers</c:v>
                </c:pt>
                <c:pt idx="6">
                  <c:v>Denim Jeans</c:v>
                </c:pt>
                <c:pt idx="7">
                  <c:v>Bluetooth Speaker</c:v>
                </c:pt>
                <c:pt idx="8">
                  <c:v>Power Bank</c:v>
                </c:pt>
                <c:pt idx="9">
                  <c:v>Water Bottle</c:v>
                </c:pt>
                <c:pt idx="10">
                  <c:v>Sandals</c:v>
                </c:pt>
                <c:pt idx="11">
                  <c:v>Cotton T-Shirt</c:v>
                </c:pt>
                <c:pt idx="12">
                  <c:v>Python Programming Book</c:v>
                </c:pt>
                <c:pt idx="13">
                  <c:v>Self Help Book</c:v>
                </c:pt>
              </c:strCache>
            </c:strRef>
          </c:cat>
          <c:val>
            <c:numRef>
              <c:f>Pivots!$B$21:$B$34</c:f>
              <c:numCache>
                <c:formatCode>\₹#,##0;"(₹"#,##0\);\-</c:formatCode>
                <c:ptCount val="14"/>
                <c:pt idx="0">
                  <c:v>234953</c:v>
                </c:pt>
                <c:pt idx="1">
                  <c:v>214435</c:v>
                </c:pt>
                <c:pt idx="2">
                  <c:v>188946</c:v>
                </c:pt>
                <c:pt idx="3">
                  <c:v>184926</c:v>
                </c:pt>
                <c:pt idx="4">
                  <c:v>173971</c:v>
                </c:pt>
                <c:pt idx="5">
                  <c:v>101154</c:v>
                </c:pt>
                <c:pt idx="6">
                  <c:v>98945</c:v>
                </c:pt>
                <c:pt idx="7">
                  <c:v>95952</c:v>
                </c:pt>
                <c:pt idx="8">
                  <c:v>79239</c:v>
                </c:pt>
                <c:pt idx="9">
                  <c:v>53393</c:v>
                </c:pt>
                <c:pt idx="10">
                  <c:v>41354</c:v>
                </c:pt>
                <c:pt idx="11">
                  <c:v>37138</c:v>
                </c:pt>
                <c:pt idx="12">
                  <c:v>32853</c:v>
                </c:pt>
                <c:pt idx="13">
                  <c:v>27531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9-4B9D-88BA-A2A0A04882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1476856"/>
        <c:axId val="99706093"/>
      </c:barChart>
      <c:catAx>
        <c:axId val="614768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706093"/>
        <c:crosses val="autoZero"/>
        <c:auto val="1"/>
        <c:lblAlgn val="ctr"/>
        <c:lblOffset val="100"/>
        <c:noMultiLvlLbl val="0"/>
      </c:catAx>
      <c:valAx>
        <c:axId val="99706093"/>
        <c:scaling>
          <c:orientation val="minMax"/>
        </c:scaling>
        <c:delete val="0"/>
        <c:axPos val="t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4768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Customer Location (₹)</a:t>
            </a:r>
          </a:p>
        </c:rich>
      </c:tx>
      <c:layout>
        <c:manualLayout>
          <c:xMode val="edge"/>
          <c:yMode val="edge"/>
          <c:x val="0.25404436389976104"/>
          <c:y val="2.7692304337697839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44304633372622"/>
          <c:y val="0.15440271105704023"/>
          <c:w val="0.86184544234474258"/>
          <c:h val="0.5827530313778388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Pivots!$A$40:$A$49</c:f>
              <c:strCache>
                <c:ptCount val="10"/>
                <c:pt idx="0">
                  <c:v>Mumbai</c:v>
                </c:pt>
                <c:pt idx="1">
                  <c:v>Bangalore</c:v>
                </c:pt>
                <c:pt idx="2">
                  <c:v>Hyderabad</c:v>
                </c:pt>
                <c:pt idx="3">
                  <c:v>Delhi</c:v>
                </c:pt>
                <c:pt idx="4">
                  <c:v>Pune</c:v>
                </c:pt>
                <c:pt idx="5">
                  <c:v>Kolkata</c:v>
                </c:pt>
                <c:pt idx="6">
                  <c:v>Lucknow</c:v>
                </c:pt>
                <c:pt idx="7">
                  <c:v>Ahmedabad</c:v>
                </c:pt>
                <c:pt idx="8">
                  <c:v>Chennai</c:v>
                </c:pt>
                <c:pt idx="9">
                  <c:v>Jaipur</c:v>
                </c:pt>
              </c:strCache>
            </c:strRef>
          </c:cat>
          <c:val>
            <c:numRef>
              <c:f>Pivots!$B$40:$B$49</c:f>
              <c:numCache>
                <c:formatCode>\₹#,##0;"(₹"#,##0\);\-</c:formatCode>
                <c:ptCount val="10"/>
                <c:pt idx="0">
                  <c:v>351454</c:v>
                </c:pt>
                <c:pt idx="1">
                  <c:v>296448</c:v>
                </c:pt>
                <c:pt idx="2">
                  <c:v>236367</c:v>
                </c:pt>
                <c:pt idx="3">
                  <c:v>206192</c:v>
                </c:pt>
                <c:pt idx="4">
                  <c:v>135923</c:v>
                </c:pt>
                <c:pt idx="5">
                  <c:v>90757</c:v>
                </c:pt>
                <c:pt idx="6">
                  <c:v>79755</c:v>
                </c:pt>
                <c:pt idx="7">
                  <c:v>78747</c:v>
                </c:pt>
                <c:pt idx="8">
                  <c:v>61766</c:v>
                </c:pt>
                <c:pt idx="9">
                  <c:v>27381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6-46F7-B9A8-0DCCA3F4F1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1178186"/>
        <c:axId val="39946140"/>
      </c:barChart>
      <c:catAx>
        <c:axId val="811781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946140"/>
        <c:crosses val="autoZero"/>
        <c:auto val="1"/>
        <c:lblAlgn val="ctr"/>
        <c:lblOffset val="100"/>
        <c:noMultiLvlLbl val="0"/>
      </c:catAx>
      <c:valAx>
        <c:axId val="399461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1781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Order Status Breakdown (orders)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DB7-4E38-AFCB-4063C0077A1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DB7-4E38-AFCB-4063C0077A1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DB7-4E38-AFCB-4063C0077A1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B7-4E38-AFCB-4063C0077A1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B7-4E38-AFCB-4063C0077A1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B7-4E38-AFCB-4063C0077A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Pivots!$A$65:$A$67</c:f>
              <c:strCache>
                <c:ptCount val="3"/>
                <c:pt idx="0">
                  <c:v>Delivered</c:v>
                </c:pt>
                <c:pt idx="1">
                  <c:v>Pending</c:v>
                </c:pt>
                <c:pt idx="2">
                  <c:v>Cancelled</c:v>
                </c:pt>
              </c:strCache>
            </c:strRef>
          </c:cat>
          <c:val>
            <c:numRef>
              <c:f>Pivots!$C$65:$C$67</c:f>
              <c:numCache>
                <c:formatCode>#,##0</c:formatCode>
                <c:ptCount val="3"/>
                <c:pt idx="0">
                  <c:v>382</c:v>
                </c:pt>
                <c:pt idx="1">
                  <c:v>55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B7-4E38-AFCB-4063C0077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Payment Method Distribution (orders)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2FD-4F19-B6B1-4B984E420A9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2FD-4F19-B6B1-4B984E420A9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2FD-4F19-B6B1-4B984E420A9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2FD-4F19-B6B1-4B984E420A97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2FD-4F19-B6B1-4B984E420A97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Pivots!$A$55:$A$59</c:f>
              <c:strCache>
                <c:ptCount val="5"/>
                <c:pt idx="0">
                  <c:v>UPI</c:v>
                </c:pt>
                <c:pt idx="1">
                  <c:v>Debit Card</c:v>
                </c:pt>
                <c:pt idx="2">
                  <c:v>Credit Card</c:v>
                </c:pt>
                <c:pt idx="3">
                  <c:v>Cash On Delivery</c:v>
                </c:pt>
                <c:pt idx="4">
                  <c:v>Net Banking</c:v>
                </c:pt>
              </c:strCache>
            </c:strRef>
          </c:cat>
          <c:val>
            <c:numRef>
              <c:f>Pivots!$C$55:$C$59</c:f>
              <c:numCache>
                <c:formatCode>#,##0</c:formatCode>
                <c:ptCount val="5"/>
                <c:pt idx="0">
                  <c:v>178</c:v>
                </c:pt>
                <c:pt idx="1">
                  <c:v>102</c:v>
                </c:pt>
                <c:pt idx="2">
                  <c:v>116</c:v>
                </c:pt>
                <c:pt idx="3">
                  <c:v>66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2FD-4F19-B6B1-4B984E420A9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Customers by Spending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436145093142076"/>
          <c:y val="0.30780431889843507"/>
          <c:w val="0.76310730217669187"/>
          <c:h val="0.6921956811015650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Pivots!$J$11:$J$20</c:f>
              <c:strCache>
                <c:ptCount val="10"/>
                <c:pt idx="0">
                  <c:v>Anjali Verma</c:v>
                </c:pt>
                <c:pt idx="1">
                  <c:v>Vikram Nair</c:v>
                </c:pt>
                <c:pt idx="2">
                  <c:v>Ishaan Chopra</c:v>
                </c:pt>
                <c:pt idx="3">
                  <c:v>Kavya Rao</c:v>
                </c:pt>
                <c:pt idx="4">
                  <c:v>Rajesh Reddy</c:v>
                </c:pt>
                <c:pt idx="5">
                  <c:v>Aditya Iyer</c:v>
                </c:pt>
                <c:pt idx="6">
                  <c:v>Nikhil Joshi</c:v>
                </c:pt>
                <c:pt idx="7">
                  <c:v>Sahil Sharma</c:v>
                </c:pt>
                <c:pt idx="8">
                  <c:v>Tanvi Iyer</c:v>
                </c:pt>
                <c:pt idx="9">
                  <c:v>Nikhil Rao</c:v>
                </c:pt>
              </c:strCache>
            </c:strRef>
          </c:cat>
          <c:val>
            <c:numRef>
              <c:f>Pivots!$K$11:$K$20</c:f>
              <c:numCache>
                <c:formatCode>\₹#,##0;"(₹"#,##0\);\-</c:formatCode>
                <c:ptCount val="10"/>
                <c:pt idx="0">
                  <c:v>59983</c:v>
                </c:pt>
                <c:pt idx="1">
                  <c:v>53281</c:v>
                </c:pt>
                <c:pt idx="2">
                  <c:v>50384</c:v>
                </c:pt>
                <c:pt idx="3">
                  <c:v>45980</c:v>
                </c:pt>
                <c:pt idx="4">
                  <c:v>44481</c:v>
                </c:pt>
                <c:pt idx="5">
                  <c:v>40576</c:v>
                </c:pt>
                <c:pt idx="6">
                  <c:v>39683</c:v>
                </c:pt>
                <c:pt idx="7">
                  <c:v>39477</c:v>
                </c:pt>
                <c:pt idx="8">
                  <c:v>39288</c:v>
                </c:pt>
                <c:pt idx="9">
                  <c:v>37782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44E-B828-DEFC447E58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307751"/>
        <c:axId val="56666937"/>
      </c:barChart>
      <c:catAx>
        <c:axId val="83077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666937"/>
        <c:crosses val="autoZero"/>
        <c:auto val="1"/>
        <c:lblAlgn val="ctr"/>
        <c:lblOffset val="100"/>
        <c:noMultiLvlLbl val="0"/>
      </c:catAx>
      <c:valAx>
        <c:axId val="56666937"/>
        <c:scaling>
          <c:orientation val="minMax"/>
        </c:scaling>
        <c:delete val="0"/>
        <c:axPos val="t"/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077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5</xdr:col>
      <xdr:colOff>1143000</xdr:colOff>
      <xdr:row>23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143511</xdr:colOff>
      <xdr:row>24</xdr:row>
      <xdr:rowOff>148166</xdr:rowOff>
    </xdr:from>
    <xdr:to>
      <xdr:col>5</xdr:col>
      <xdr:colOff>994833</xdr:colOff>
      <xdr:row>44</xdr:row>
      <xdr:rowOff>104986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306916</xdr:colOff>
      <xdr:row>2</xdr:row>
      <xdr:rowOff>116415</xdr:rowOff>
    </xdr:from>
    <xdr:to>
      <xdr:col>19</xdr:col>
      <xdr:colOff>275166</xdr:colOff>
      <xdr:row>16</xdr:row>
      <xdr:rowOff>148166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496571</xdr:colOff>
      <xdr:row>4</xdr:row>
      <xdr:rowOff>102446</xdr:rowOff>
    </xdr:from>
    <xdr:to>
      <xdr:col>28</xdr:col>
      <xdr:colOff>254000</xdr:colOff>
      <xdr:row>18</xdr:row>
      <xdr:rowOff>169332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232832</xdr:colOff>
      <xdr:row>20</xdr:row>
      <xdr:rowOff>84667</xdr:rowOff>
    </xdr:from>
    <xdr:to>
      <xdr:col>19</xdr:col>
      <xdr:colOff>84666</xdr:colOff>
      <xdr:row>35</xdr:row>
      <xdr:rowOff>42333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300143</xdr:colOff>
      <xdr:row>15</xdr:row>
      <xdr:rowOff>102869</xdr:rowOff>
    </xdr:from>
    <xdr:to>
      <xdr:col>11</xdr:col>
      <xdr:colOff>624417</xdr:colOff>
      <xdr:row>36</xdr:row>
      <xdr:rowOff>21166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B1:N7"/>
  <sheetViews>
    <sheetView showGridLines="0" zoomScale="72" zoomScaleNormal="100" workbookViewId="0">
      <selection activeCell="J11" sqref="J11"/>
    </sheetView>
  </sheetViews>
  <sheetFormatPr defaultColWidth="8.6640625" defaultRowHeight="14.4" x14ac:dyDescent="0.3"/>
  <cols>
    <col min="1" max="1" width="2" customWidth="1"/>
    <col min="2" max="2" width="15" customWidth="1"/>
    <col min="3" max="4" width="13" customWidth="1"/>
    <col min="5" max="6" width="18" customWidth="1"/>
    <col min="7" max="7" width="13" customWidth="1"/>
    <col min="8" max="8" width="14" customWidth="1"/>
    <col min="9" max="15" width="13" customWidth="1"/>
  </cols>
  <sheetData>
    <row r="1" spans="2:14" ht="37.5" customHeight="1" x14ac:dyDescent="0.3"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2:14" x14ac:dyDescent="0.3">
      <c r="B2" s="34" t="s">
        <v>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4" spans="2:14" x14ac:dyDescent="0.3">
      <c r="B4" s="2" t="s">
        <v>2</v>
      </c>
      <c r="C4" s="3" t="s">
        <v>3</v>
      </c>
      <c r="D4" s="2" t="s">
        <v>4</v>
      </c>
      <c r="E4" s="3" t="s">
        <v>3</v>
      </c>
      <c r="G4" s="36" t="s">
        <v>5</v>
      </c>
      <c r="H4" s="3" t="s">
        <v>3</v>
      </c>
      <c r="I4" s="2" t="s">
        <v>6</v>
      </c>
      <c r="J4" s="3" t="s">
        <v>3</v>
      </c>
    </row>
    <row r="6" spans="2:14" x14ac:dyDescent="0.3"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</row>
    <row r="7" spans="2:14" ht="30" customHeight="1" x14ac:dyDescent="0.3">
      <c r="B7" s="5">
        <f>SUMIFS(Cleaned_Data!$G$2:$G$501,Cleaned_Data!$D$2:$D$501,Pivots!$B$3,Cleaned_Data!$I$2:$I$501,Pivots!$B$4,Cleaned_Data!$N$2:$N$501,Pivots!$B$5,Cleaned_Data!$L$2:$L$501,Pivots!$B$6)</f>
        <v>1564790</v>
      </c>
      <c r="C7" s="6">
        <f>COUNTIFS(Cleaned_Data!$D$2:$D$501,Pivots!$B$3,Cleaned_Data!$I$2:$I$501,Pivots!$B$4,Cleaned_Data!$N$2:$N$501,Pivots!$B$5,Cleaned_Data!$L$2:$L$501,Pivots!$B$6)</f>
        <v>500</v>
      </c>
      <c r="D7" s="6">
        <f>SUMIFS(Cleaned_Data!$F$2:$F$501,Cleaned_Data!$D$2:$D$501,Pivots!$B$3,Cleaned_Data!$I$2:$I$501,Pivots!$B$4,Cleaned_Data!$N$2:$N$501,Pivots!$B$5,Cleaned_Data!$L$2:$L$501,Pivots!$B$6)</f>
        <v>810</v>
      </c>
      <c r="E7" s="5">
        <f>IF(C7=0,0,B7/C7)</f>
        <v>3129.58</v>
      </c>
      <c r="F7" s="7">
        <f>IF(COUNTIFS(Cleaned_Data!$D$2:$D$501,Pivots!$B$3,Cleaned_Data!$I$2:$I$501,Pivots!$B$4,Cleaned_Data!$L$2:$L$501,Pivots!$B$6)=0,0,COUNTIFS(Cleaned_Data!$D$2:$D$501,Pivots!$B$3,Cleaned_Data!$I$2:$I$501,Pivots!$B$4,Cleaned_Data!$L$2:$L$501,Pivots!$B$6,Cleaned_Data!$N$2:$N$501,"Delivered")/COUNTIFS(Cleaned_Data!$D$2:$D$501,Pivots!$B$3,Cleaned_Data!$I$2:$I$501,Pivots!$B$4,Cleaned_Data!$L$2:$L$501,Pivots!$B$6))</f>
        <v>0.76400000000000001</v>
      </c>
      <c r="G7" s="7">
        <f>IF(COUNTIFS(Cleaned_Data!$D$2:$D$501,Pivots!$B$3,Cleaned_Data!$I$2:$I$501,Pivots!$B$4,Cleaned_Data!$L$2:$L$501,Pivots!$B$6)=0,0,COUNTIFS(Cleaned_Data!$D$2:$D$501,Pivots!$B$3,Cleaned_Data!$I$2:$I$501,Pivots!$B$4,Cleaned_Data!$L$2:$L$501,Pivots!$B$6,Cleaned_Data!$N$2:$N$501,"Cancelled")/COUNTIFS(Cleaned_Data!$D$2:$D$501,Pivots!$B$3,Cleaned_Data!$I$2:$I$501,Pivots!$B$4,Cleaned_Data!$L$2:$L$501,Pivots!$B$6))</f>
        <v>0.126</v>
      </c>
      <c r="H7" s="7">
        <f>IF(COUNTIFS(Cleaned_Data!$D$2:$D$501,Pivots!$B$3,Cleaned_Data!$I$2:$I$501,Pivots!$B$4,Cleaned_Data!$L$2:$L$501,Pivots!$B$6)=0,0,COUNTIFS(Cleaned_Data!$D$2:$D$501,Pivots!$B$3,Cleaned_Data!$I$2:$I$501,Pivots!$B$4,Cleaned_Data!$L$2:$L$501,Pivots!$B$6,Cleaned_Data!$N$2:$N$501,"Pending")/COUNTIFS(Cleaned_Data!$D$2:$D$501,Pivots!$B$3,Cleaned_Data!$I$2:$I$501,Pivots!$B$4,Cleaned_Data!$L$2:$L$501,Pivots!$B$6))</f>
        <v>0.11</v>
      </c>
    </row>
  </sheetData>
  <mergeCells count="2">
    <mergeCell ref="B1:N1"/>
    <mergeCell ref="B2:N2"/>
  </mergeCells>
  <dataValidations count="4">
    <dataValidation type="list" sqref="C4" xr:uid="{00000000-0002-0000-0000-000000000000}">
      <formula1>"All,Books,Clothing,Electronics,Footwear,Home &amp; Kitchen"</formula1>
      <formula2>0</formula2>
    </dataValidation>
    <dataValidation type="list" sqref="E4" xr:uid="{00000000-0002-0000-0000-000001000000}">
      <formula1>"All,Ahmedabad,Bangalore,Chennai,Delhi,Hyderabad,Jaipur,Kolkata,Lucknow,Mumbai,Pune"</formula1>
      <formula2>0</formula2>
    </dataValidation>
    <dataValidation type="list" sqref="H4" xr:uid="{00000000-0002-0000-0000-000002000000}">
      <formula1>"All,Delivered,Cancelled,Pending"</formula1>
      <formula2>0</formula2>
    </dataValidation>
    <dataValidation type="list" sqref="J4" xr:uid="{00000000-0002-0000-0000-000003000000}">
      <formula1>"All,Sep"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5" customWidth="1"/>
    <col min="3" max="3" width="10" customWidth="1"/>
    <col min="4" max="4" width="12" customWidth="1"/>
    <col min="5" max="5" width="11" customWidth="1"/>
    <col min="6" max="6" width="20" customWidth="1"/>
    <col min="7" max="7" width="14" customWidth="1"/>
    <col min="8" max="8" width="3" customWidth="1"/>
    <col min="9" max="9" width="7" customWidth="1"/>
    <col min="10" max="10" width="24" customWidth="1"/>
    <col min="11" max="11" width="15" customWidth="1"/>
    <col min="12" max="12" width="9" customWidth="1"/>
  </cols>
  <sheetData>
    <row r="1" spans="1:12" ht="16.8" x14ac:dyDescent="0.3">
      <c r="A1" s="8" t="s">
        <v>14</v>
      </c>
    </row>
    <row r="3" spans="1:12" x14ac:dyDescent="0.3">
      <c r="A3" s="9" t="s">
        <v>15</v>
      </c>
      <c r="B3" s="10" t="str">
        <f>IF(Dashboard!$C$4="All","*",Dashboard!$C$4)</f>
        <v>*</v>
      </c>
      <c r="C3" s="11" t="s">
        <v>16</v>
      </c>
    </row>
    <row r="4" spans="1:12" x14ac:dyDescent="0.3">
      <c r="A4" s="9" t="s">
        <v>17</v>
      </c>
      <c r="B4" s="10" t="str">
        <f>IF(Dashboard!$E$4="All","*",Dashboard!$E$4)</f>
        <v>*</v>
      </c>
    </row>
    <row r="5" spans="1:12" x14ac:dyDescent="0.3">
      <c r="A5" s="9" t="s">
        <v>18</v>
      </c>
      <c r="B5" s="10" t="str">
        <f>IF(Dashboard!$H$4="All","*",Dashboard!$H$4)</f>
        <v>*</v>
      </c>
    </row>
    <row r="6" spans="1:12" x14ac:dyDescent="0.3">
      <c r="A6" s="9" t="s">
        <v>19</v>
      </c>
      <c r="B6" s="10" t="str">
        <f>IF(Dashboard!$J$4="All","*",Dashboard!$J$4)</f>
        <v>*</v>
      </c>
    </row>
    <row r="9" spans="1:12" x14ac:dyDescent="0.3">
      <c r="A9" s="12" t="s">
        <v>20</v>
      </c>
      <c r="I9" s="12" t="s">
        <v>21</v>
      </c>
    </row>
    <row r="10" spans="1:12" x14ac:dyDescent="0.3">
      <c r="A10" s="13" t="s">
        <v>22</v>
      </c>
      <c r="B10" s="13" t="s">
        <v>7</v>
      </c>
      <c r="C10" s="13" t="s">
        <v>23</v>
      </c>
      <c r="D10" s="13" t="s">
        <v>9</v>
      </c>
      <c r="E10" s="13" t="s">
        <v>24</v>
      </c>
      <c r="F10" s="13" t="s">
        <v>25</v>
      </c>
      <c r="I10" s="13" t="s">
        <v>26</v>
      </c>
      <c r="J10" s="13" t="s">
        <v>27</v>
      </c>
      <c r="K10" s="13" t="s">
        <v>7</v>
      </c>
      <c r="L10" s="13" t="s">
        <v>23</v>
      </c>
    </row>
    <row r="11" spans="1:12" x14ac:dyDescent="0.3">
      <c r="A11" s="14" t="s">
        <v>28</v>
      </c>
      <c r="B11" s="15">
        <f>SUMIFS(Cleaned_Data!$G$2:$G$501,Cleaned_Data!$D$2:$D$501,$A11,Cleaned_Data!$I$2:$I$501,$B$4,Cleaned_Data!$N$2:$N$501,$B$5,Cleaned_Data!$L$2:$L$501,$B$6)</f>
        <v>595070</v>
      </c>
      <c r="C11" s="16">
        <f>COUNTIFS(Cleaned_Data!$D$2:$D$501,$A11,Cleaned_Data!$I$2:$I$501,$B$4,Cleaned_Data!$N$2:$N$501,$B$5,Cleaned_Data!$L$2:$L$501,$B$6)</f>
        <v>148</v>
      </c>
      <c r="D11" s="16">
        <f>SUMIFS(Cleaned_Data!$F$2:$F$501,Cleaned_Data!$D$2:$D$501,$A11,Cleaned_Data!$I$2:$I$501,$B$4,Cleaned_Data!$N$2:$N$501,$B$5,Cleaned_Data!$L$2:$L$501,$B$6)</f>
        <v>230</v>
      </c>
      <c r="E11" s="17">
        <f>IF($B$16=0,0,B11/$B$16)</f>
        <v>0.38028745071223613</v>
      </c>
      <c r="F11" s="15">
        <f>SUMIFS(Cleaned_Data!$G$2:$G$501,Cleaned_Data!$D$2:$D$501,$A11)</f>
        <v>595070</v>
      </c>
      <c r="I11" s="14">
        <v>1</v>
      </c>
      <c r="J11" s="14" t="str">
        <f t="shared" ref="J11:J20" si="0">INDEX($A$73:$A$132,MATCH(LARGE($G$73:$G$132,I11),$G$73:$G$132,0))</f>
        <v>Anjali Verma</v>
      </c>
      <c r="K11" s="15">
        <f t="shared" ref="K11:K20" si="1">INDEX($B$73:$B$132,MATCH(LARGE($G$73:$G$132,I11),$G$73:$G$132,0))</f>
        <v>59983</v>
      </c>
      <c r="L11" s="16">
        <f t="shared" ref="L11:L20" si="2">INDEX($C$73:$C$132,MATCH(LARGE($G$73:$G$132,I11),$G$73:$G$132,0))</f>
        <v>9</v>
      </c>
    </row>
    <row r="12" spans="1:12" x14ac:dyDescent="0.3">
      <c r="A12" s="14" t="s">
        <v>29</v>
      </c>
      <c r="B12" s="15">
        <f>SUMIFS(Cleaned_Data!$G$2:$G$501,Cleaned_Data!$D$2:$D$501,$A12,Cleaned_Data!$I$2:$I$501,$B$4,Cleaned_Data!$N$2:$N$501,$B$5,Cleaned_Data!$L$2:$L$501,$B$6)</f>
        <v>416310</v>
      </c>
      <c r="C12" s="16">
        <f>COUNTIFS(Cleaned_Data!$D$2:$D$501,$A12,Cleaned_Data!$I$2:$I$501,$B$4,Cleaned_Data!$N$2:$N$501,$B$5,Cleaned_Data!$L$2:$L$501,$B$6)</f>
        <v>113</v>
      </c>
      <c r="D12" s="16">
        <f>SUMIFS(Cleaned_Data!$F$2:$F$501,Cleaned_Data!$D$2:$D$501,$A12,Cleaned_Data!$I$2:$I$501,$B$4,Cleaned_Data!$N$2:$N$501,$B$5,Cleaned_Data!$L$2:$L$501,$B$6)</f>
        <v>190</v>
      </c>
      <c r="E12" s="17">
        <f>IF($B$16=0,0,B12/$B$16)</f>
        <v>0.2660484793486666</v>
      </c>
      <c r="F12" s="15">
        <f>SUMIFS(Cleaned_Data!$G$2:$G$501,Cleaned_Data!$D$2:$D$501,$A12)</f>
        <v>416310</v>
      </c>
      <c r="I12" s="14">
        <v>2</v>
      </c>
      <c r="J12" s="14" t="str">
        <f t="shared" si="0"/>
        <v>Vikram Nair</v>
      </c>
      <c r="K12" s="15">
        <f t="shared" si="1"/>
        <v>53281</v>
      </c>
      <c r="L12" s="16">
        <f t="shared" si="2"/>
        <v>11</v>
      </c>
    </row>
    <row r="13" spans="1:12" x14ac:dyDescent="0.3">
      <c r="A13" s="14" t="s">
        <v>30</v>
      </c>
      <c r="B13" s="15">
        <f>SUMIFS(Cleaned_Data!$G$2:$G$501,Cleaned_Data!$D$2:$D$501,$A13,Cleaned_Data!$I$2:$I$501,$B$4,Cleaned_Data!$N$2:$N$501,$B$5,Cleaned_Data!$L$2:$L$501,$B$6)</f>
        <v>356943</v>
      </c>
      <c r="C13" s="16">
        <f>COUNTIFS(Cleaned_Data!$D$2:$D$501,$A13,Cleaned_Data!$I$2:$I$501,$B$4,Cleaned_Data!$N$2:$N$501,$B$5,Cleaned_Data!$L$2:$L$501,$B$6)</f>
        <v>97</v>
      </c>
      <c r="D13" s="16">
        <f>SUMIFS(Cleaned_Data!$F$2:$F$501,Cleaned_Data!$D$2:$D$501,$A13,Cleaned_Data!$I$2:$I$501,$B$4,Cleaned_Data!$N$2:$N$501,$B$5,Cleaned_Data!$L$2:$L$501,$B$6)</f>
        <v>157</v>
      </c>
      <c r="E13" s="17">
        <f>IF($B$16=0,0,B13/$B$16)</f>
        <v>0.22810920315186065</v>
      </c>
      <c r="F13" s="15">
        <f>SUMIFS(Cleaned_Data!$G$2:$G$501,Cleaned_Data!$D$2:$D$501,$A13)</f>
        <v>356943</v>
      </c>
      <c r="I13" s="14">
        <v>3</v>
      </c>
      <c r="J13" s="14" t="str">
        <f t="shared" si="0"/>
        <v>Ishaan Chopra</v>
      </c>
      <c r="K13" s="15">
        <f t="shared" si="1"/>
        <v>50384</v>
      </c>
      <c r="L13" s="16">
        <f t="shared" si="2"/>
        <v>9</v>
      </c>
    </row>
    <row r="14" spans="1:12" x14ac:dyDescent="0.3">
      <c r="A14" s="14" t="s">
        <v>31</v>
      </c>
      <c r="B14" s="15">
        <f>SUMIFS(Cleaned_Data!$G$2:$G$501,Cleaned_Data!$D$2:$D$501,$A14,Cleaned_Data!$I$2:$I$501,$B$4,Cleaned_Data!$N$2:$N$501,$B$5,Cleaned_Data!$L$2:$L$501,$B$6)</f>
        <v>136083</v>
      </c>
      <c r="C14" s="16">
        <f>COUNTIFS(Cleaned_Data!$D$2:$D$501,$A14,Cleaned_Data!$I$2:$I$501,$B$4,Cleaned_Data!$N$2:$N$501,$B$5,Cleaned_Data!$L$2:$L$501,$B$6)</f>
        <v>70</v>
      </c>
      <c r="D14" s="16">
        <f>SUMIFS(Cleaned_Data!$F$2:$F$501,Cleaned_Data!$D$2:$D$501,$A14,Cleaned_Data!$I$2:$I$501,$B$4,Cleaned_Data!$N$2:$N$501,$B$5,Cleaned_Data!$L$2:$L$501,$B$6)</f>
        <v>117</v>
      </c>
      <c r="E14" s="17">
        <f>IF($B$16=0,0,B14/$B$16)</f>
        <v>8.6965663124125278E-2</v>
      </c>
      <c r="F14" s="15">
        <f>SUMIFS(Cleaned_Data!$G$2:$G$501,Cleaned_Data!$D$2:$D$501,$A14)</f>
        <v>136083</v>
      </c>
      <c r="I14" s="14">
        <v>4</v>
      </c>
      <c r="J14" s="14" t="str">
        <f t="shared" si="0"/>
        <v>Kavya Rao</v>
      </c>
      <c r="K14" s="15">
        <f t="shared" si="1"/>
        <v>45980</v>
      </c>
      <c r="L14" s="16">
        <f t="shared" si="2"/>
        <v>10</v>
      </c>
    </row>
    <row r="15" spans="1:12" x14ac:dyDescent="0.3">
      <c r="A15" s="14" t="s">
        <v>32</v>
      </c>
      <c r="B15" s="15">
        <f>SUMIFS(Cleaned_Data!$G$2:$G$501,Cleaned_Data!$D$2:$D$501,$A15,Cleaned_Data!$I$2:$I$501,$B$4,Cleaned_Data!$N$2:$N$501,$B$5,Cleaned_Data!$L$2:$L$501,$B$6)</f>
        <v>60384</v>
      </c>
      <c r="C15" s="16">
        <f>COUNTIFS(Cleaned_Data!$D$2:$D$501,$A15,Cleaned_Data!$I$2:$I$501,$B$4,Cleaned_Data!$N$2:$N$501,$B$5,Cleaned_Data!$L$2:$L$501,$B$6)</f>
        <v>72</v>
      </c>
      <c r="D15" s="16">
        <f>SUMIFS(Cleaned_Data!$F$2:$F$501,Cleaned_Data!$D$2:$D$501,$A15,Cleaned_Data!$I$2:$I$501,$B$4,Cleaned_Data!$N$2:$N$501,$B$5,Cleaned_Data!$L$2:$L$501,$B$6)</f>
        <v>116</v>
      </c>
      <c r="E15" s="17">
        <f>IF($B$16=0,0,B15/$B$16)</f>
        <v>3.8589203663111346E-2</v>
      </c>
      <c r="F15" s="15">
        <f>SUMIFS(Cleaned_Data!$G$2:$G$501,Cleaned_Data!$D$2:$D$501,$A15)</f>
        <v>60384</v>
      </c>
      <c r="I15" s="14">
        <v>5</v>
      </c>
      <c r="J15" s="14" t="str">
        <f t="shared" si="0"/>
        <v>Rajesh Reddy</v>
      </c>
      <c r="K15" s="15">
        <f t="shared" si="1"/>
        <v>44481</v>
      </c>
      <c r="L15" s="16">
        <f t="shared" si="2"/>
        <v>9</v>
      </c>
    </row>
    <row r="16" spans="1:12" x14ac:dyDescent="0.3">
      <c r="A16" s="18" t="s">
        <v>33</v>
      </c>
      <c r="B16" s="19">
        <f>SUM(B11:B15)</f>
        <v>1564790</v>
      </c>
      <c r="C16" s="20">
        <f>SUM(C11:C15)</f>
        <v>500</v>
      </c>
      <c r="D16" s="20">
        <f>SUM(D11:D15)</f>
        <v>810</v>
      </c>
      <c r="E16" s="21">
        <f>SUM(E11:E15)</f>
        <v>1</v>
      </c>
      <c r="F16" s="19">
        <f>SUM(F11:F15)</f>
        <v>1564790</v>
      </c>
      <c r="I16" s="14">
        <v>6</v>
      </c>
      <c r="J16" s="14" t="str">
        <f t="shared" si="0"/>
        <v>Aditya Iyer</v>
      </c>
      <c r="K16" s="15">
        <f t="shared" si="1"/>
        <v>40576</v>
      </c>
      <c r="L16" s="16">
        <f t="shared" si="2"/>
        <v>12</v>
      </c>
    </row>
    <row r="17" spans="1:12" x14ac:dyDescent="0.3">
      <c r="I17" s="14">
        <v>7</v>
      </c>
      <c r="J17" s="14" t="str">
        <f t="shared" si="0"/>
        <v>Nikhil Joshi</v>
      </c>
      <c r="K17" s="15">
        <f t="shared" si="1"/>
        <v>39683</v>
      </c>
      <c r="L17" s="16">
        <f t="shared" si="2"/>
        <v>10</v>
      </c>
    </row>
    <row r="18" spans="1:12" x14ac:dyDescent="0.3">
      <c r="I18" s="14">
        <v>8</v>
      </c>
      <c r="J18" s="14" t="str">
        <f t="shared" si="0"/>
        <v>Sahil Sharma</v>
      </c>
      <c r="K18" s="15">
        <f t="shared" si="1"/>
        <v>39477</v>
      </c>
      <c r="L18" s="16">
        <f t="shared" si="2"/>
        <v>12</v>
      </c>
    </row>
    <row r="19" spans="1:12" x14ac:dyDescent="0.3">
      <c r="A19" s="12" t="s">
        <v>34</v>
      </c>
      <c r="I19" s="14">
        <v>9</v>
      </c>
      <c r="J19" s="14" t="str">
        <f t="shared" si="0"/>
        <v>Tanvi Iyer</v>
      </c>
      <c r="K19" s="15">
        <f t="shared" si="1"/>
        <v>39288</v>
      </c>
      <c r="L19" s="16">
        <f t="shared" si="2"/>
        <v>8</v>
      </c>
    </row>
    <row r="20" spans="1:12" x14ac:dyDescent="0.3">
      <c r="A20" s="13" t="s">
        <v>22</v>
      </c>
      <c r="B20" s="13" t="s">
        <v>7</v>
      </c>
      <c r="C20" s="13" t="s">
        <v>23</v>
      </c>
      <c r="D20" s="13" t="s">
        <v>9</v>
      </c>
      <c r="E20" s="13" t="s">
        <v>24</v>
      </c>
      <c r="F20" s="13" t="s">
        <v>25</v>
      </c>
      <c r="I20" s="14">
        <v>10</v>
      </c>
      <c r="J20" s="14" t="str">
        <f t="shared" si="0"/>
        <v>Nikhil Rao</v>
      </c>
      <c r="K20" s="15">
        <f t="shared" si="1"/>
        <v>37782</v>
      </c>
      <c r="L20" s="16">
        <f t="shared" si="2"/>
        <v>10</v>
      </c>
    </row>
    <row r="21" spans="1:12" x14ac:dyDescent="0.3">
      <c r="A21" s="14" t="s">
        <v>35</v>
      </c>
      <c r="B21" s="15">
        <f>SUMIFS(Cleaned_Data!$G$2:$G$501,Cleaned_Data!$C$2:$C$501,$A21,Cleaned_Data!$D$2:$D$501,$B$3,Cleaned_Data!$I$2:$I$501,$B$4,Cleaned_Data!$N$2:$N$501,$B$5,Cleaned_Data!$L$2:$L$501,$B$6)</f>
        <v>234953</v>
      </c>
      <c r="C21" s="16">
        <f>COUNTIFS(Cleaned_Data!$C$2:$C$501,$A21,Cleaned_Data!$D$2:$D$501,$B$3,Cleaned_Data!$I$2:$I$501,$B$4,Cleaned_Data!$N$2:$N$501,$B$5,Cleaned_Data!$L$2:$L$501,$B$6)</f>
        <v>33</v>
      </c>
      <c r="D21" s="16">
        <f>SUMIFS(Cleaned_Data!$F$2:$F$501,Cleaned_Data!$C$2:$C$501,$A21,Cleaned_Data!$D$2:$D$501,$B$3,Cleaned_Data!$I$2:$I$501,$B$4,Cleaned_Data!$N$2:$N$501,$B$5,Cleaned_Data!$L$2:$L$501,$B$6)</f>
        <v>47</v>
      </c>
      <c r="E21" s="17">
        <f t="shared" ref="E21:E34" si="3">IF($B$35=0,0,B21/$B$35)</f>
        <v>0.15014986036464956</v>
      </c>
      <c r="F21" s="15">
        <f>SUMIFS(Cleaned_Data!$G$2:$G$501,Cleaned_Data!$C$2:$C$501,$A21)</f>
        <v>234953</v>
      </c>
    </row>
    <row r="22" spans="1:12" x14ac:dyDescent="0.3">
      <c r="A22" s="14" t="s">
        <v>36</v>
      </c>
      <c r="B22" s="15">
        <f>SUMIFS(Cleaned_Data!$G$2:$G$501,Cleaned_Data!$C$2:$C$501,$A22,Cleaned_Data!$D$2:$D$501,$B$3,Cleaned_Data!$I$2:$I$501,$B$4,Cleaned_Data!$N$2:$N$501,$B$5,Cleaned_Data!$L$2:$L$501,$B$6)</f>
        <v>214435</v>
      </c>
      <c r="C22" s="16">
        <f>COUNTIFS(Cleaned_Data!$C$2:$C$501,$A22,Cleaned_Data!$D$2:$D$501,$B$3,Cleaned_Data!$I$2:$I$501,$B$4,Cleaned_Data!$N$2:$N$501,$B$5,Cleaned_Data!$L$2:$L$501,$B$6)</f>
        <v>36</v>
      </c>
      <c r="D22" s="16">
        <f>SUMIFS(Cleaned_Data!$F$2:$F$501,Cleaned_Data!$C$2:$C$501,$A22,Cleaned_Data!$D$2:$D$501,$B$3,Cleaned_Data!$I$2:$I$501,$B$4,Cleaned_Data!$N$2:$N$501,$B$5,Cleaned_Data!$L$2:$L$501,$B$6)</f>
        <v>65</v>
      </c>
      <c r="E22" s="17">
        <f t="shared" si="3"/>
        <v>0.13703755775535376</v>
      </c>
      <c r="F22" s="15">
        <f>SUMIFS(Cleaned_Data!$G$2:$G$501,Cleaned_Data!$C$2:$C$501,$A22)</f>
        <v>214435</v>
      </c>
    </row>
    <row r="23" spans="1:12" x14ac:dyDescent="0.3">
      <c r="A23" s="14" t="s">
        <v>37</v>
      </c>
      <c r="B23" s="15">
        <f>SUMIFS(Cleaned_Data!$G$2:$G$501,Cleaned_Data!$C$2:$C$501,$A23,Cleaned_Data!$D$2:$D$501,$B$3,Cleaned_Data!$I$2:$I$501,$B$4,Cleaned_Data!$N$2:$N$501,$B$5,Cleaned_Data!$L$2:$L$501,$B$6)</f>
        <v>188946</v>
      </c>
      <c r="C23" s="16">
        <f>COUNTIFS(Cleaned_Data!$C$2:$C$501,$A23,Cleaned_Data!$D$2:$D$501,$B$3,Cleaned_Data!$I$2:$I$501,$B$4,Cleaned_Data!$N$2:$N$501,$B$5,Cleaned_Data!$L$2:$L$501,$B$6)</f>
        <v>29</v>
      </c>
      <c r="D23" s="16">
        <f>SUMIFS(Cleaned_Data!$F$2:$F$501,Cleaned_Data!$C$2:$C$501,$A23,Cleaned_Data!$D$2:$D$501,$B$3,Cleaned_Data!$I$2:$I$501,$B$4,Cleaned_Data!$N$2:$N$501,$B$5,Cleaned_Data!$L$2:$L$501,$B$6)</f>
        <v>54</v>
      </c>
      <c r="E23" s="17">
        <f t="shared" si="3"/>
        <v>0.12074847104084255</v>
      </c>
      <c r="F23" s="15">
        <f>SUMIFS(Cleaned_Data!$G$2:$G$501,Cleaned_Data!$C$2:$C$501,$A23)</f>
        <v>188946</v>
      </c>
    </row>
    <row r="24" spans="1:12" x14ac:dyDescent="0.3">
      <c r="A24" s="14" t="s">
        <v>38</v>
      </c>
      <c r="B24" s="15">
        <f>SUMIFS(Cleaned_Data!$G$2:$G$501,Cleaned_Data!$C$2:$C$501,$A24,Cleaned_Data!$D$2:$D$501,$B$3,Cleaned_Data!$I$2:$I$501,$B$4,Cleaned_Data!$N$2:$N$501,$B$5,Cleaned_Data!$L$2:$L$501,$B$6)</f>
        <v>184926</v>
      </c>
      <c r="C24" s="16">
        <f>COUNTIFS(Cleaned_Data!$C$2:$C$501,$A24,Cleaned_Data!$D$2:$D$501,$B$3,Cleaned_Data!$I$2:$I$501,$B$4,Cleaned_Data!$N$2:$N$501,$B$5,Cleaned_Data!$L$2:$L$501,$B$6)</f>
        <v>46</v>
      </c>
      <c r="D24" s="16">
        <f>SUMIFS(Cleaned_Data!$F$2:$F$501,Cleaned_Data!$C$2:$C$501,$A24,Cleaned_Data!$D$2:$D$501,$B$3,Cleaned_Data!$I$2:$I$501,$B$4,Cleaned_Data!$N$2:$N$501,$B$5,Cleaned_Data!$L$2:$L$501,$B$6)</f>
        <v>74</v>
      </c>
      <c r="E24" s="17">
        <f t="shared" si="3"/>
        <v>0.11817943621827849</v>
      </c>
      <c r="F24" s="15">
        <f>SUMIFS(Cleaned_Data!$G$2:$G$501,Cleaned_Data!$C$2:$C$501,$A24)</f>
        <v>184926</v>
      </c>
    </row>
    <row r="25" spans="1:12" x14ac:dyDescent="0.3">
      <c r="A25" s="14" t="s">
        <v>39</v>
      </c>
      <c r="B25" s="15">
        <f>SUMIFS(Cleaned_Data!$G$2:$G$501,Cleaned_Data!$C$2:$C$501,$A25,Cleaned_Data!$D$2:$D$501,$B$3,Cleaned_Data!$I$2:$I$501,$B$4,Cleaned_Data!$N$2:$N$501,$B$5,Cleaned_Data!$L$2:$L$501,$B$6)</f>
        <v>173971</v>
      </c>
      <c r="C25" s="16">
        <f>COUNTIFS(Cleaned_Data!$C$2:$C$501,$A25,Cleaned_Data!$D$2:$D$501,$B$3,Cleaned_Data!$I$2:$I$501,$B$4,Cleaned_Data!$N$2:$N$501,$B$5,Cleaned_Data!$L$2:$L$501,$B$6)</f>
        <v>18</v>
      </c>
      <c r="D25" s="16">
        <f>SUMIFS(Cleaned_Data!$F$2:$F$501,Cleaned_Data!$C$2:$C$501,$A25,Cleaned_Data!$D$2:$D$501,$B$3,Cleaned_Data!$I$2:$I$501,$B$4,Cleaned_Data!$N$2:$N$501,$B$5,Cleaned_Data!$L$2:$L$501,$B$6)</f>
        <v>29</v>
      </c>
      <c r="E25" s="17">
        <f t="shared" si="3"/>
        <v>0.1111784967950971</v>
      </c>
      <c r="F25" s="15">
        <f>SUMIFS(Cleaned_Data!$G$2:$G$501,Cleaned_Data!$C$2:$C$501,$A25)</f>
        <v>173971</v>
      </c>
    </row>
    <row r="26" spans="1:12" x14ac:dyDescent="0.3">
      <c r="A26" s="14" t="s">
        <v>40</v>
      </c>
      <c r="B26" s="15">
        <f>SUMIFS(Cleaned_Data!$G$2:$G$501,Cleaned_Data!$C$2:$C$501,$A26,Cleaned_Data!$D$2:$D$501,$B$3,Cleaned_Data!$I$2:$I$501,$B$4,Cleaned_Data!$N$2:$N$501,$B$5,Cleaned_Data!$L$2:$L$501,$B$6)</f>
        <v>101154</v>
      </c>
      <c r="C26" s="16">
        <f>COUNTIFS(Cleaned_Data!$C$2:$C$501,$A26,Cleaned_Data!$D$2:$D$501,$B$3,Cleaned_Data!$I$2:$I$501,$B$4,Cleaned_Data!$N$2:$N$501,$B$5,Cleaned_Data!$L$2:$L$501,$B$6)</f>
        <v>36</v>
      </c>
      <c r="D26" s="16">
        <f>SUMIFS(Cleaned_Data!$F$2:$F$501,Cleaned_Data!$C$2:$C$501,$A26,Cleaned_Data!$D$2:$D$501,$B$3,Cleaned_Data!$I$2:$I$501,$B$4,Cleaned_Data!$N$2:$N$501,$B$5,Cleaned_Data!$L$2:$L$501,$B$6)</f>
        <v>46</v>
      </c>
      <c r="E26" s="17">
        <f t="shared" si="3"/>
        <v>6.464381802030944E-2</v>
      </c>
      <c r="F26" s="15">
        <f>SUMIFS(Cleaned_Data!$G$2:$G$501,Cleaned_Data!$C$2:$C$501,$A26)</f>
        <v>101154</v>
      </c>
    </row>
    <row r="27" spans="1:12" x14ac:dyDescent="0.3">
      <c r="A27" s="14" t="s">
        <v>41</v>
      </c>
      <c r="B27" s="15">
        <f>SUMIFS(Cleaned_Data!$G$2:$G$501,Cleaned_Data!$C$2:$C$501,$A27,Cleaned_Data!$D$2:$D$501,$B$3,Cleaned_Data!$I$2:$I$501,$B$4,Cleaned_Data!$N$2:$N$501,$B$5,Cleaned_Data!$L$2:$L$501,$B$6)</f>
        <v>98945</v>
      </c>
      <c r="C27" s="16">
        <f>COUNTIFS(Cleaned_Data!$C$2:$C$501,$A27,Cleaned_Data!$D$2:$D$501,$B$3,Cleaned_Data!$I$2:$I$501,$B$4,Cleaned_Data!$N$2:$N$501,$B$5,Cleaned_Data!$L$2:$L$501,$B$6)</f>
        <v>33</v>
      </c>
      <c r="D27" s="16">
        <f>SUMIFS(Cleaned_Data!$F$2:$F$501,Cleaned_Data!$C$2:$C$501,$A27,Cleaned_Data!$D$2:$D$501,$B$3,Cleaned_Data!$I$2:$I$501,$B$4,Cleaned_Data!$N$2:$N$501,$B$5,Cleaned_Data!$L$2:$L$501,$B$6)</f>
        <v>55</v>
      </c>
      <c r="E27" s="17">
        <f t="shared" si="3"/>
        <v>6.3232126994676605E-2</v>
      </c>
      <c r="F27" s="15">
        <f>SUMIFS(Cleaned_Data!$G$2:$G$501,Cleaned_Data!$C$2:$C$501,$A27)</f>
        <v>98945</v>
      </c>
    </row>
    <row r="28" spans="1:12" x14ac:dyDescent="0.3">
      <c r="A28" s="14" t="s">
        <v>42</v>
      </c>
      <c r="B28" s="15">
        <f>SUMIFS(Cleaned_Data!$G$2:$G$501,Cleaned_Data!$C$2:$C$501,$A28,Cleaned_Data!$D$2:$D$501,$B$3,Cleaned_Data!$I$2:$I$501,$B$4,Cleaned_Data!$N$2:$N$501,$B$5,Cleaned_Data!$L$2:$L$501,$B$6)</f>
        <v>95952</v>
      </c>
      <c r="C28" s="16">
        <f>COUNTIFS(Cleaned_Data!$C$2:$C$501,$A28,Cleaned_Data!$D$2:$D$501,$B$3,Cleaned_Data!$I$2:$I$501,$B$4,Cleaned_Data!$N$2:$N$501,$B$5,Cleaned_Data!$L$2:$L$501,$B$6)</f>
        <v>30</v>
      </c>
      <c r="D28" s="16">
        <f>SUMIFS(Cleaned_Data!$F$2:$F$501,Cleaned_Data!$C$2:$C$501,$A28,Cleaned_Data!$D$2:$D$501,$B$3,Cleaned_Data!$I$2:$I$501,$B$4,Cleaned_Data!$N$2:$N$501,$B$5,Cleaned_Data!$L$2:$L$501,$B$6)</f>
        <v>48</v>
      </c>
      <c r="E28" s="17">
        <f t="shared" si="3"/>
        <v>6.1319410272304913E-2</v>
      </c>
      <c r="F28" s="15">
        <f>SUMIFS(Cleaned_Data!$G$2:$G$501,Cleaned_Data!$C$2:$C$501,$A28)</f>
        <v>95952</v>
      </c>
    </row>
    <row r="29" spans="1:12" x14ac:dyDescent="0.3">
      <c r="A29" s="14" t="s">
        <v>43</v>
      </c>
      <c r="B29" s="15">
        <f>SUMIFS(Cleaned_Data!$G$2:$G$501,Cleaned_Data!$C$2:$C$501,$A29,Cleaned_Data!$D$2:$D$501,$B$3,Cleaned_Data!$I$2:$I$501,$B$4,Cleaned_Data!$N$2:$N$501,$B$5,Cleaned_Data!$L$2:$L$501,$B$6)</f>
        <v>79239</v>
      </c>
      <c r="C29" s="16">
        <f>COUNTIFS(Cleaned_Data!$C$2:$C$501,$A29,Cleaned_Data!$D$2:$D$501,$B$3,Cleaned_Data!$I$2:$I$501,$B$4,Cleaned_Data!$N$2:$N$501,$B$5,Cleaned_Data!$L$2:$L$501,$B$6)</f>
        <v>39</v>
      </c>
      <c r="D29" s="16">
        <f>SUMIFS(Cleaned_Data!$F$2:$F$501,Cleaned_Data!$C$2:$C$501,$A29,Cleaned_Data!$D$2:$D$501,$B$3,Cleaned_Data!$I$2:$I$501,$B$4,Cleaned_Data!$N$2:$N$501,$B$5,Cleaned_Data!$L$2:$L$501,$B$6)</f>
        <v>61</v>
      </c>
      <c r="E29" s="17">
        <f t="shared" si="3"/>
        <v>5.0638743857003177E-2</v>
      </c>
      <c r="F29" s="15">
        <f>SUMIFS(Cleaned_Data!$G$2:$G$501,Cleaned_Data!$C$2:$C$501,$A29)</f>
        <v>79239</v>
      </c>
    </row>
    <row r="30" spans="1:12" x14ac:dyDescent="0.3">
      <c r="A30" s="14" t="s">
        <v>44</v>
      </c>
      <c r="B30" s="15">
        <f>SUMIFS(Cleaned_Data!$G$2:$G$501,Cleaned_Data!$C$2:$C$501,$A30,Cleaned_Data!$D$2:$D$501,$B$3,Cleaned_Data!$I$2:$I$501,$B$4,Cleaned_Data!$N$2:$N$501,$B$5,Cleaned_Data!$L$2:$L$501,$B$6)</f>
        <v>53393</v>
      </c>
      <c r="C30" s="16">
        <f>COUNTIFS(Cleaned_Data!$C$2:$C$501,$A30,Cleaned_Data!$D$2:$D$501,$B$3,Cleaned_Data!$I$2:$I$501,$B$4,Cleaned_Data!$N$2:$N$501,$B$5,Cleaned_Data!$L$2:$L$501,$B$6)</f>
        <v>66</v>
      </c>
      <c r="D30" s="16">
        <f>SUMIFS(Cleaned_Data!$F$2:$F$501,Cleaned_Data!$C$2:$C$501,$A30,Cleaned_Data!$D$2:$D$501,$B$3,Cleaned_Data!$I$2:$I$501,$B$4,Cleaned_Data!$N$2:$N$501,$B$5,Cleaned_Data!$L$2:$L$501,$B$6)</f>
        <v>107</v>
      </c>
      <c r="E30" s="17">
        <f t="shared" si="3"/>
        <v>3.4121511512726944E-2</v>
      </c>
      <c r="F30" s="15">
        <f>SUMIFS(Cleaned_Data!$G$2:$G$501,Cleaned_Data!$C$2:$C$501,$A30)</f>
        <v>53393</v>
      </c>
    </row>
    <row r="31" spans="1:12" x14ac:dyDescent="0.3">
      <c r="A31" s="14" t="s">
        <v>45</v>
      </c>
      <c r="B31" s="15">
        <f>SUMIFS(Cleaned_Data!$G$2:$G$501,Cleaned_Data!$C$2:$C$501,$A31,Cleaned_Data!$D$2:$D$501,$B$3,Cleaned_Data!$I$2:$I$501,$B$4,Cleaned_Data!$N$2:$N$501,$B$5,Cleaned_Data!$L$2:$L$501,$B$6)</f>
        <v>41354</v>
      </c>
      <c r="C31" s="16">
        <f>COUNTIFS(Cleaned_Data!$C$2:$C$501,$A31,Cleaned_Data!$D$2:$D$501,$B$3,Cleaned_Data!$I$2:$I$501,$B$4,Cleaned_Data!$N$2:$N$501,$B$5,Cleaned_Data!$L$2:$L$501,$B$6)</f>
        <v>25</v>
      </c>
      <c r="D31" s="16">
        <f>SUMIFS(Cleaned_Data!$F$2:$F$501,Cleaned_Data!$C$2:$C$501,$A31,Cleaned_Data!$D$2:$D$501,$B$3,Cleaned_Data!$I$2:$I$501,$B$4,Cleaned_Data!$N$2:$N$501,$B$5,Cleaned_Data!$L$2:$L$501,$B$6)</f>
        <v>46</v>
      </c>
      <c r="E31" s="17">
        <f t="shared" si="3"/>
        <v>2.6427827376197446E-2</v>
      </c>
      <c r="F31" s="15">
        <f>SUMIFS(Cleaned_Data!$G$2:$G$501,Cleaned_Data!$C$2:$C$501,$A31)</f>
        <v>41354</v>
      </c>
    </row>
    <row r="32" spans="1:12" x14ac:dyDescent="0.3">
      <c r="A32" s="14" t="s">
        <v>46</v>
      </c>
      <c r="B32" s="15">
        <f>SUMIFS(Cleaned_Data!$G$2:$G$501,Cleaned_Data!$C$2:$C$501,$A32,Cleaned_Data!$D$2:$D$501,$B$3,Cleaned_Data!$I$2:$I$501,$B$4,Cleaned_Data!$N$2:$N$501,$B$5,Cleaned_Data!$L$2:$L$501,$B$6)</f>
        <v>37138</v>
      </c>
      <c r="C32" s="16">
        <f>COUNTIFS(Cleaned_Data!$C$2:$C$501,$A32,Cleaned_Data!$D$2:$D$501,$B$3,Cleaned_Data!$I$2:$I$501,$B$4,Cleaned_Data!$N$2:$N$501,$B$5,Cleaned_Data!$L$2:$L$501,$B$6)</f>
        <v>37</v>
      </c>
      <c r="D32" s="16">
        <f>SUMIFS(Cleaned_Data!$F$2:$F$501,Cleaned_Data!$C$2:$C$501,$A32,Cleaned_Data!$D$2:$D$501,$B$3,Cleaned_Data!$I$2:$I$501,$B$4,Cleaned_Data!$N$2:$N$501,$B$5,Cleaned_Data!$L$2:$L$501,$B$6)</f>
        <v>62</v>
      </c>
      <c r="E32" s="17">
        <f t="shared" si="3"/>
        <v>2.373353612944868E-2</v>
      </c>
      <c r="F32" s="15">
        <f>SUMIFS(Cleaned_Data!$G$2:$G$501,Cleaned_Data!$C$2:$C$501,$A32)</f>
        <v>37138</v>
      </c>
    </row>
    <row r="33" spans="1:6" x14ac:dyDescent="0.3">
      <c r="A33" s="14" t="s">
        <v>47</v>
      </c>
      <c r="B33" s="15">
        <f>SUMIFS(Cleaned_Data!$G$2:$G$501,Cleaned_Data!$C$2:$C$501,$A33,Cleaned_Data!$D$2:$D$501,$B$3,Cleaned_Data!$I$2:$I$501,$B$4,Cleaned_Data!$N$2:$N$501,$B$5,Cleaned_Data!$L$2:$L$501,$B$6)</f>
        <v>32853</v>
      </c>
      <c r="C33" s="16">
        <f>COUNTIFS(Cleaned_Data!$C$2:$C$501,$A33,Cleaned_Data!$D$2:$D$501,$B$3,Cleaned_Data!$I$2:$I$501,$B$4,Cleaned_Data!$N$2:$N$501,$B$5,Cleaned_Data!$L$2:$L$501,$B$6)</f>
        <v>30</v>
      </c>
      <c r="D33" s="16">
        <f>SUMIFS(Cleaned_Data!$F$2:$F$501,Cleaned_Data!$C$2:$C$501,$A33,Cleaned_Data!$D$2:$D$501,$B$3,Cleaned_Data!$I$2:$I$501,$B$4,Cleaned_Data!$N$2:$N$501,$B$5,Cleaned_Data!$L$2:$L$501,$B$6)</f>
        <v>47</v>
      </c>
      <c r="E33" s="17">
        <f t="shared" si="3"/>
        <v>2.0995149508879787E-2</v>
      </c>
      <c r="F33" s="15">
        <f>SUMIFS(Cleaned_Data!$G$2:$G$501,Cleaned_Data!$C$2:$C$501,$A33)</f>
        <v>32853</v>
      </c>
    </row>
    <row r="34" spans="1:6" x14ac:dyDescent="0.3">
      <c r="A34" s="14" t="s">
        <v>48</v>
      </c>
      <c r="B34" s="15">
        <f>SUMIFS(Cleaned_Data!$G$2:$G$501,Cleaned_Data!$C$2:$C$501,$A34,Cleaned_Data!$D$2:$D$501,$B$3,Cleaned_Data!$I$2:$I$501,$B$4,Cleaned_Data!$N$2:$N$501,$B$5,Cleaned_Data!$L$2:$L$501,$B$6)</f>
        <v>27531</v>
      </c>
      <c r="C34" s="16">
        <f>COUNTIFS(Cleaned_Data!$C$2:$C$501,$A34,Cleaned_Data!$D$2:$D$501,$B$3,Cleaned_Data!$I$2:$I$501,$B$4,Cleaned_Data!$N$2:$N$501,$B$5,Cleaned_Data!$L$2:$L$501,$B$6)</f>
        <v>42</v>
      </c>
      <c r="D34" s="16">
        <f>SUMIFS(Cleaned_Data!$F$2:$F$501,Cleaned_Data!$C$2:$C$501,$A34,Cleaned_Data!$D$2:$D$501,$B$3,Cleaned_Data!$I$2:$I$501,$B$4,Cleaned_Data!$N$2:$N$501,$B$5,Cleaned_Data!$L$2:$L$501,$B$6)</f>
        <v>69</v>
      </c>
      <c r="E34" s="17">
        <f t="shared" si="3"/>
        <v>1.7594054154231559E-2</v>
      </c>
      <c r="F34" s="15">
        <f>SUMIFS(Cleaned_Data!$G$2:$G$501,Cleaned_Data!$C$2:$C$501,$A34)</f>
        <v>27531</v>
      </c>
    </row>
    <row r="35" spans="1:6" x14ac:dyDescent="0.3">
      <c r="A35" s="18" t="s">
        <v>33</v>
      </c>
      <c r="B35" s="19">
        <f>SUM(B21:B34)</f>
        <v>1564790</v>
      </c>
      <c r="C35" s="20">
        <f>SUM(C21:C34)</f>
        <v>500</v>
      </c>
      <c r="D35" s="20">
        <f>SUM(D21:D34)</f>
        <v>810</v>
      </c>
      <c r="E35" s="21">
        <f>SUM(E21:E34)</f>
        <v>1.0000000000000002</v>
      </c>
      <c r="F35" s="19">
        <f>SUM(F21:F34)</f>
        <v>1564790</v>
      </c>
    </row>
    <row r="38" spans="1:6" x14ac:dyDescent="0.3">
      <c r="A38" s="12" t="s">
        <v>49</v>
      </c>
    </row>
    <row r="39" spans="1:6" x14ac:dyDescent="0.3">
      <c r="A39" s="13" t="s">
        <v>22</v>
      </c>
      <c r="B39" s="13" t="s">
        <v>7</v>
      </c>
      <c r="C39" s="13" t="s">
        <v>23</v>
      </c>
      <c r="D39" s="13" t="s">
        <v>9</v>
      </c>
      <c r="E39" s="13" t="s">
        <v>24</v>
      </c>
      <c r="F39" s="13" t="s">
        <v>25</v>
      </c>
    </row>
    <row r="40" spans="1:6" x14ac:dyDescent="0.3">
      <c r="A40" s="14" t="s">
        <v>50</v>
      </c>
      <c r="B40" s="15">
        <f>SUMIFS(Cleaned_Data!$G$2:$G$501,Cleaned_Data!$I$2:$I$501,$A40,Cleaned_Data!$D$2:$D$501,$B$3,Cleaned_Data!$N$2:$N$501,$B$5,Cleaned_Data!$L$2:$L$501,$B$6)</f>
        <v>351454</v>
      </c>
      <c r="C40" s="16">
        <f>COUNTIFS(Cleaned_Data!$I$2:$I$501,$A40,Cleaned_Data!$D$2:$D$501,$B$3,Cleaned_Data!$N$2:$N$501,$B$5,Cleaned_Data!$L$2:$L$501,$B$6)</f>
        <v>85</v>
      </c>
      <c r="D40" s="16">
        <f>SUMIFS(Cleaned_Data!$F$2:$F$501,Cleaned_Data!$I$2:$I$501,$A40,Cleaned_Data!$D$2:$D$501,$B$3,Cleaned_Data!$N$2:$N$501,$B$5,Cleaned_Data!$L$2:$L$501,$B$6)</f>
        <v>146</v>
      </c>
      <c r="E40" s="17">
        <f t="shared" ref="E40:E49" si="4">IF($B$50=0,0,B40/$B$50)</f>
        <v>0.22460138421129991</v>
      </c>
      <c r="F40" s="15">
        <f>SUMIFS(Cleaned_Data!$G$2:$G$501,Cleaned_Data!$I$2:$I$501,$A40)</f>
        <v>351454</v>
      </c>
    </row>
    <row r="41" spans="1:6" x14ac:dyDescent="0.3">
      <c r="A41" s="14" t="s">
        <v>51</v>
      </c>
      <c r="B41" s="15">
        <f>SUMIFS(Cleaned_Data!$G$2:$G$501,Cleaned_Data!$I$2:$I$501,$A41,Cleaned_Data!$D$2:$D$501,$B$3,Cleaned_Data!$N$2:$N$501,$B$5,Cleaned_Data!$L$2:$L$501,$B$6)</f>
        <v>296448</v>
      </c>
      <c r="C41" s="16">
        <f>COUNTIFS(Cleaned_Data!$I$2:$I$501,$A41,Cleaned_Data!$D$2:$D$501,$B$3,Cleaned_Data!$N$2:$N$501,$B$5,Cleaned_Data!$L$2:$L$501,$B$6)</f>
        <v>97</v>
      </c>
      <c r="D41" s="16">
        <f>SUMIFS(Cleaned_Data!$F$2:$F$501,Cleaned_Data!$I$2:$I$501,$A41,Cleaned_Data!$D$2:$D$501,$B$3,Cleaned_Data!$N$2:$N$501,$B$5,Cleaned_Data!$L$2:$L$501,$B$6)</f>
        <v>152</v>
      </c>
      <c r="E41" s="17">
        <f t="shared" si="4"/>
        <v>0.18944906345260387</v>
      </c>
      <c r="F41" s="15">
        <f>SUMIFS(Cleaned_Data!$G$2:$G$501,Cleaned_Data!$I$2:$I$501,$A41)</f>
        <v>296448</v>
      </c>
    </row>
    <row r="42" spans="1:6" x14ac:dyDescent="0.3">
      <c r="A42" s="14" t="s">
        <v>52</v>
      </c>
      <c r="B42" s="15">
        <f>SUMIFS(Cleaned_Data!$G$2:$G$501,Cleaned_Data!$I$2:$I$501,$A42,Cleaned_Data!$D$2:$D$501,$B$3,Cleaned_Data!$N$2:$N$501,$B$5,Cleaned_Data!$L$2:$L$501,$B$6)</f>
        <v>236367</v>
      </c>
      <c r="C42" s="16">
        <f>COUNTIFS(Cleaned_Data!$I$2:$I$501,$A42,Cleaned_Data!$D$2:$D$501,$B$3,Cleaned_Data!$N$2:$N$501,$B$5,Cleaned_Data!$L$2:$L$501,$B$6)</f>
        <v>83</v>
      </c>
      <c r="D42" s="16">
        <f>SUMIFS(Cleaned_Data!$F$2:$F$501,Cleaned_Data!$I$2:$I$501,$A42,Cleaned_Data!$D$2:$D$501,$B$3,Cleaned_Data!$N$2:$N$501,$B$5,Cleaned_Data!$L$2:$L$501,$B$6)</f>
        <v>133</v>
      </c>
      <c r="E42" s="17">
        <f t="shared" si="4"/>
        <v>0.15105349599626788</v>
      </c>
      <c r="F42" s="15">
        <f>SUMIFS(Cleaned_Data!$G$2:$G$501,Cleaned_Data!$I$2:$I$501,$A42)</f>
        <v>236367</v>
      </c>
    </row>
    <row r="43" spans="1:6" x14ac:dyDescent="0.3">
      <c r="A43" s="14" t="s">
        <v>53</v>
      </c>
      <c r="B43" s="15">
        <f>SUMIFS(Cleaned_Data!$G$2:$G$501,Cleaned_Data!$I$2:$I$501,$A43,Cleaned_Data!$D$2:$D$501,$B$3,Cleaned_Data!$N$2:$N$501,$B$5,Cleaned_Data!$L$2:$L$501,$B$6)</f>
        <v>206192</v>
      </c>
      <c r="C43" s="16">
        <f>COUNTIFS(Cleaned_Data!$I$2:$I$501,$A43,Cleaned_Data!$D$2:$D$501,$B$3,Cleaned_Data!$N$2:$N$501,$B$5,Cleaned_Data!$L$2:$L$501,$B$6)</f>
        <v>69</v>
      </c>
      <c r="D43" s="16">
        <f>SUMIFS(Cleaned_Data!$F$2:$F$501,Cleaned_Data!$I$2:$I$501,$A43,Cleaned_Data!$D$2:$D$501,$B$3,Cleaned_Data!$N$2:$N$501,$B$5,Cleaned_Data!$L$2:$L$501,$B$6)</f>
        <v>108</v>
      </c>
      <c r="E43" s="17">
        <f t="shared" si="4"/>
        <v>0.13176975824232007</v>
      </c>
      <c r="F43" s="15">
        <f>SUMIFS(Cleaned_Data!$G$2:$G$501,Cleaned_Data!$I$2:$I$501,$A43)</f>
        <v>206192</v>
      </c>
    </row>
    <row r="44" spans="1:6" x14ac:dyDescent="0.3">
      <c r="A44" s="14" t="s">
        <v>54</v>
      </c>
      <c r="B44" s="15">
        <f>SUMIFS(Cleaned_Data!$G$2:$G$501,Cleaned_Data!$I$2:$I$501,$A44,Cleaned_Data!$D$2:$D$501,$B$3,Cleaned_Data!$N$2:$N$501,$B$5,Cleaned_Data!$L$2:$L$501,$B$6)</f>
        <v>135923</v>
      </c>
      <c r="C44" s="16">
        <f>COUNTIFS(Cleaned_Data!$I$2:$I$501,$A44,Cleaned_Data!$D$2:$D$501,$B$3,Cleaned_Data!$N$2:$N$501,$B$5,Cleaned_Data!$L$2:$L$501,$B$6)</f>
        <v>50</v>
      </c>
      <c r="D44" s="16">
        <f>SUMIFS(Cleaned_Data!$F$2:$F$501,Cleaned_Data!$I$2:$I$501,$A44,Cleaned_Data!$D$2:$D$501,$B$3,Cleaned_Data!$N$2:$N$501,$B$5,Cleaned_Data!$L$2:$L$501,$B$6)</f>
        <v>77</v>
      </c>
      <c r="E44" s="17">
        <f t="shared" si="4"/>
        <v>8.6863412981933674E-2</v>
      </c>
      <c r="F44" s="15">
        <f>SUMIFS(Cleaned_Data!$G$2:$G$501,Cleaned_Data!$I$2:$I$501,$A44)</f>
        <v>135923</v>
      </c>
    </row>
    <row r="45" spans="1:6" x14ac:dyDescent="0.3">
      <c r="A45" s="14" t="s">
        <v>55</v>
      </c>
      <c r="B45" s="15">
        <f>SUMIFS(Cleaned_Data!$G$2:$G$501,Cleaned_Data!$I$2:$I$501,$A45,Cleaned_Data!$D$2:$D$501,$B$3,Cleaned_Data!$N$2:$N$501,$B$5,Cleaned_Data!$L$2:$L$501,$B$6)</f>
        <v>90757</v>
      </c>
      <c r="C45" s="16">
        <f>COUNTIFS(Cleaned_Data!$I$2:$I$501,$A45,Cleaned_Data!$D$2:$D$501,$B$3,Cleaned_Data!$N$2:$N$501,$B$5,Cleaned_Data!$L$2:$L$501,$B$6)</f>
        <v>29</v>
      </c>
      <c r="D45" s="16">
        <f>SUMIFS(Cleaned_Data!$F$2:$F$501,Cleaned_Data!$I$2:$I$501,$A45,Cleaned_Data!$D$2:$D$501,$B$3,Cleaned_Data!$N$2:$N$501,$B$5,Cleaned_Data!$L$2:$L$501,$B$6)</f>
        <v>43</v>
      </c>
      <c r="E45" s="17">
        <f t="shared" si="4"/>
        <v>5.7999475968021269E-2</v>
      </c>
      <c r="F45" s="15">
        <f>SUMIFS(Cleaned_Data!$G$2:$G$501,Cleaned_Data!$I$2:$I$501,$A45)</f>
        <v>90757</v>
      </c>
    </row>
    <row r="46" spans="1:6" x14ac:dyDescent="0.3">
      <c r="A46" s="14" t="s">
        <v>56</v>
      </c>
      <c r="B46" s="15">
        <f>SUMIFS(Cleaned_Data!$G$2:$G$501,Cleaned_Data!$I$2:$I$501,$A46,Cleaned_Data!$D$2:$D$501,$B$3,Cleaned_Data!$N$2:$N$501,$B$5,Cleaned_Data!$L$2:$L$501,$B$6)</f>
        <v>79755</v>
      </c>
      <c r="C46" s="16">
        <f>COUNTIFS(Cleaned_Data!$I$2:$I$501,$A46,Cleaned_Data!$D$2:$D$501,$B$3,Cleaned_Data!$N$2:$N$501,$B$5,Cleaned_Data!$L$2:$L$501,$B$6)</f>
        <v>27</v>
      </c>
      <c r="D46" s="16">
        <f>SUMIFS(Cleaned_Data!$F$2:$F$501,Cleaned_Data!$I$2:$I$501,$A46,Cleaned_Data!$D$2:$D$501,$B$3,Cleaned_Data!$N$2:$N$501,$B$5,Cleaned_Data!$L$2:$L$501,$B$6)</f>
        <v>45</v>
      </c>
      <c r="E46" s="17">
        <f t="shared" si="4"/>
        <v>5.0968500565571097E-2</v>
      </c>
      <c r="F46" s="15">
        <f>SUMIFS(Cleaned_Data!$G$2:$G$501,Cleaned_Data!$I$2:$I$501,$A46)</f>
        <v>79755</v>
      </c>
    </row>
    <row r="47" spans="1:6" x14ac:dyDescent="0.3">
      <c r="A47" s="14" t="s">
        <v>57</v>
      </c>
      <c r="B47" s="15">
        <f>SUMIFS(Cleaned_Data!$G$2:$G$501,Cleaned_Data!$I$2:$I$501,$A47,Cleaned_Data!$D$2:$D$501,$B$3,Cleaned_Data!$N$2:$N$501,$B$5,Cleaned_Data!$L$2:$L$501,$B$6)</f>
        <v>78747</v>
      </c>
      <c r="C47" s="16">
        <f>COUNTIFS(Cleaned_Data!$I$2:$I$501,$A47,Cleaned_Data!$D$2:$D$501,$B$3,Cleaned_Data!$N$2:$N$501,$B$5,Cleaned_Data!$L$2:$L$501,$B$6)</f>
        <v>27</v>
      </c>
      <c r="D47" s="16">
        <f>SUMIFS(Cleaned_Data!$F$2:$F$501,Cleaned_Data!$I$2:$I$501,$A47,Cleaned_Data!$D$2:$D$501,$B$3,Cleaned_Data!$N$2:$N$501,$B$5,Cleaned_Data!$L$2:$L$501,$B$6)</f>
        <v>53</v>
      </c>
      <c r="E47" s="17">
        <f t="shared" si="4"/>
        <v>5.0324324669763991E-2</v>
      </c>
      <c r="F47" s="15">
        <f>SUMIFS(Cleaned_Data!$G$2:$G$501,Cleaned_Data!$I$2:$I$501,$A47)</f>
        <v>78747</v>
      </c>
    </row>
    <row r="48" spans="1:6" x14ac:dyDescent="0.3">
      <c r="A48" s="14" t="s">
        <v>58</v>
      </c>
      <c r="B48" s="15">
        <f>SUMIFS(Cleaned_Data!$G$2:$G$501,Cleaned_Data!$I$2:$I$501,$A48,Cleaned_Data!$D$2:$D$501,$B$3,Cleaned_Data!$N$2:$N$501,$B$5,Cleaned_Data!$L$2:$L$501,$B$6)</f>
        <v>61766</v>
      </c>
      <c r="C48" s="16">
        <f>COUNTIFS(Cleaned_Data!$I$2:$I$501,$A48,Cleaned_Data!$D$2:$D$501,$B$3,Cleaned_Data!$N$2:$N$501,$B$5,Cleaned_Data!$L$2:$L$501,$B$6)</f>
        <v>18</v>
      </c>
      <c r="D48" s="16">
        <f>SUMIFS(Cleaned_Data!$F$2:$F$501,Cleaned_Data!$I$2:$I$501,$A48,Cleaned_Data!$D$2:$D$501,$B$3,Cleaned_Data!$N$2:$N$501,$B$5,Cleaned_Data!$L$2:$L$501,$B$6)</f>
        <v>34</v>
      </c>
      <c r="E48" s="17">
        <f t="shared" si="4"/>
        <v>3.9472389266291326E-2</v>
      </c>
      <c r="F48" s="15">
        <f>SUMIFS(Cleaned_Data!$G$2:$G$501,Cleaned_Data!$I$2:$I$501,$A48)</f>
        <v>61766</v>
      </c>
    </row>
    <row r="49" spans="1:6" x14ac:dyDescent="0.3">
      <c r="A49" s="14" t="s">
        <v>59</v>
      </c>
      <c r="B49" s="15">
        <f>SUMIFS(Cleaned_Data!$G$2:$G$501,Cleaned_Data!$I$2:$I$501,$A49,Cleaned_Data!$D$2:$D$501,$B$3,Cleaned_Data!$N$2:$N$501,$B$5,Cleaned_Data!$L$2:$L$501,$B$6)</f>
        <v>27381</v>
      </c>
      <c r="C49" s="16">
        <f>COUNTIFS(Cleaned_Data!$I$2:$I$501,$A49,Cleaned_Data!$D$2:$D$501,$B$3,Cleaned_Data!$N$2:$N$501,$B$5,Cleaned_Data!$L$2:$L$501,$B$6)</f>
        <v>15</v>
      </c>
      <c r="D49" s="16">
        <f>SUMIFS(Cleaned_Data!$F$2:$F$501,Cleaned_Data!$I$2:$I$501,$A49,Cleaned_Data!$D$2:$D$501,$B$3,Cleaned_Data!$N$2:$N$501,$B$5,Cleaned_Data!$L$2:$L$501,$B$6)</f>
        <v>19</v>
      </c>
      <c r="E49" s="17">
        <f t="shared" si="4"/>
        <v>1.7498194645926928E-2</v>
      </c>
      <c r="F49" s="15">
        <f>SUMIFS(Cleaned_Data!$G$2:$G$501,Cleaned_Data!$I$2:$I$501,$A49)</f>
        <v>27381</v>
      </c>
    </row>
    <row r="50" spans="1:6" x14ac:dyDescent="0.3">
      <c r="A50" s="18" t="s">
        <v>33</v>
      </c>
      <c r="B50" s="19">
        <f>SUM(B40:B49)</f>
        <v>1564790</v>
      </c>
      <c r="C50" s="20">
        <f>SUM(C40:C49)</f>
        <v>500</v>
      </c>
      <c r="D50" s="20">
        <f>SUM(D40:D49)</f>
        <v>810</v>
      </c>
      <c r="E50" s="21">
        <f>SUM(E40:E49)</f>
        <v>1</v>
      </c>
      <c r="F50" s="19">
        <f>SUM(F40:F49)</f>
        <v>1564790</v>
      </c>
    </row>
    <row r="53" spans="1:6" x14ac:dyDescent="0.3">
      <c r="A53" s="12" t="s">
        <v>60</v>
      </c>
    </row>
    <row r="54" spans="1:6" x14ac:dyDescent="0.3">
      <c r="A54" s="13" t="s">
        <v>22</v>
      </c>
      <c r="B54" s="13" t="s">
        <v>7</v>
      </c>
      <c r="C54" s="13" t="s">
        <v>23</v>
      </c>
      <c r="D54" s="13" t="s">
        <v>9</v>
      </c>
      <c r="E54" s="13" t="s">
        <v>24</v>
      </c>
      <c r="F54" s="13" t="s">
        <v>25</v>
      </c>
    </row>
    <row r="55" spans="1:6" x14ac:dyDescent="0.3">
      <c r="A55" s="14" t="s">
        <v>61</v>
      </c>
      <c r="B55" s="15">
        <f>SUMIFS(Cleaned_Data!$G$2:$G$501,Cleaned_Data!$J$2:$J$501,$A55,Cleaned_Data!$D$2:$D$501,$B$3,Cleaned_Data!$I$2:$I$501,$B$4,Cleaned_Data!$N$2:$N$501,$B$5,Cleaned_Data!$L$2:$L$501,$B$6)</f>
        <v>552508</v>
      </c>
      <c r="C55" s="16">
        <f>COUNTIFS(Cleaned_Data!$J$2:$J$501,$A55,Cleaned_Data!$D$2:$D$501,$B$3,Cleaned_Data!$I$2:$I$501,$B$4,Cleaned_Data!$N$2:$N$501,$B$5,Cleaned_Data!$L$2:$L$501,$B$6)</f>
        <v>178</v>
      </c>
      <c r="D55" s="16">
        <f>SUMIFS(Cleaned_Data!$F$2:$F$501,Cleaned_Data!$J$2:$J$501,$A55,Cleaned_Data!$D$2:$D$501,$B$3,Cleaned_Data!$I$2:$I$501,$B$4,Cleaned_Data!$N$2:$N$501,$B$5,Cleaned_Data!$L$2:$L$501,$B$6)</f>
        <v>292</v>
      </c>
      <c r="E55" s="17">
        <f>IF($B$60=0,0,B55/$B$60)</f>
        <v>0.35308763476249211</v>
      </c>
      <c r="F55" s="15">
        <f>SUMIFS(Cleaned_Data!$G$2:$G$501,Cleaned_Data!$J$2:$J$501,$A55)</f>
        <v>552508</v>
      </c>
    </row>
    <row r="56" spans="1:6" x14ac:dyDescent="0.3">
      <c r="A56" s="14" t="s">
        <v>62</v>
      </c>
      <c r="B56" s="15">
        <f>SUMIFS(Cleaned_Data!$G$2:$G$501,Cleaned_Data!$J$2:$J$501,$A56,Cleaned_Data!$D$2:$D$501,$B$3,Cleaned_Data!$I$2:$I$501,$B$4,Cleaned_Data!$N$2:$N$501,$B$5,Cleaned_Data!$L$2:$L$501,$B$6)</f>
        <v>337642</v>
      </c>
      <c r="C56" s="16">
        <f>COUNTIFS(Cleaned_Data!$J$2:$J$501,$A56,Cleaned_Data!$D$2:$D$501,$B$3,Cleaned_Data!$I$2:$I$501,$B$4,Cleaned_Data!$N$2:$N$501,$B$5,Cleaned_Data!$L$2:$L$501,$B$6)</f>
        <v>102</v>
      </c>
      <c r="D56" s="16">
        <f>SUMIFS(Cleaned_Data!$F$2:$F$501,Cleaned_Data!$J$2:$J$501,$A56,Cleaned_Data!$D$2:$D$501,$B$3,Cleaned_Data!$I$2:$I$501,$B$4,Cleaned_Data!$N$2:$N$501,$B$5,Cleaned_Data!$L$2:$L$501,$B$6)</f>
        <v>158</v>
      </c>
      <c r="E56" s="17">
        <f>IF($B$60=0,0,B56/$B$60)</f>
        <v>0.2157746406866097</v>
      </c>
      <c r="F56" s="15">
        <f>SUMIFS(Cleaned_Data!$G$2:$G$501,Cleaned_Data!$J$2:$J$501,$A56)</f>
        <v>337642</v>
      </c>
    </row>
    <row r="57" spans="1:6" x14ac:dyDescent="0.3">
      <c r="A57" s="14" t="s">
        <v>63</v>
      </c>
      <c r="B57" s="15">
        <f>SUMIFS(Cleaned_Data!$G$2:$G$501,Cleaned_Data!$J$2:$J$501,$A57,Cleaned_Data!$D$2:$D$501,$B$3,Cleaned_Data!$I$2:$I$501,$B$4,Cleaned_Data!$N$2:$N$501,$B$5,Cleaned_Data!$L$2:$L$501,$B$6)</f>
        <v>335010</v>
      </c>
      <c r="C57" s="16">
        <f>COUNTIFS(Cleaned_Data!$J$2:$J$501,$A57,Cleaned_Data!$D$2:$D$501,$B$3,Cleaned_Data!$I$2:$I$501,$B$4,Cleaned_Data!$N$2:$N$501,$B$5,Cleaned_Data!$L$2:$L$501,$B$6)</f>
        <v>116</v>
      </c>
      <c r="D57" s="16">
        <f>SUMIFS(Cleaned_Data!$F$2:$F$501,Cleaned_Data!$J$2:$J$501,$A57,Cleaned_Data!$D$2:$D$501,$B$3,Cleaned_Data!$I$2:$I$501,$B$4,Cleaned_Data!$N$2:$N$501,$B$5,Cleaned_Data!$L$2:$L$501,$B$6)</f>
        <v>190</v>
      </c>
      <c r="E57" s="17">
        <f>IF($B$60=0,0,B57/$B$60)</f>
        <v>0.21409262584755781</v>
      </c>
      <c r="F57" s="15">
        <f>SUMIFS(Cleaned_Data!$G$2:$G$501,Cleaned_Data!$J$2:$J$501,$A57)</f>
        <v>335010</v>
      </c>
    </row>
    <row r="58" spans="1:6" x14ac:dyDescent="0.3">
      <c r="A58" s="14" t="s">
        <v>64</v>
      </c>
      <c r="B58" s="15">
        <f>SUMIFS(Cleaned_Data!$G$2:$G$501,Cleaned_Data!$J$2:$J$501,$A58,Cleaned_Data!$D$2:$D$501,$B$3,Cleaned_Data!$I$2:$I$501,$B$4,Cleaned_Data!$N$2:$N$501,$B$5,Cleaned_Data!$L$2:$L$501,$B$6)</f>
        <v>204795</v>
      </c>
      <c r="C58" s="16">
        <f>COUNTIFS(Cleaned_Data!$J$2:$J$501,$A58,Cleaned_Data!$D$2:$D$501,$B$3,Cleaned_Data!$I$2:$I$501,$B$4,Cleaned_Data!$N$2:$N$501,$B$5,Cleaned_Data!$L$2:$L$501,$B$6)</f>
        <v>66</v>
      </c>
      <c r="D58" s="16">
        <f>SUMIFS(Cleaned_Data!$F$2:$F$501,Cleaned_Data!$J$2:$J$501,$A58,Cleaned_Data!$D$2:$D$501,$B$3,Cleaned_Data!$I$2:$I$501,$B$4,Cleaned_Data!$N$2:$N$501,$B$5,Cleaned_Data!$L$2:$L$501,$B$6)</f>
        <v>105</v>
      </c>
      <c r="E58" s="17">
        <f>IF($B$60=0,0,B58/$B$60)</f>
        <v>0.1308769866883096</v>
      </c>
      <c r="F58" s="15">
        <f>SUMIFS(Cleaned_Data!$G$2:$G$501,Cleaned_Data!$J$2:$J$501,$A58)</f>
        <v>204795</v>
      </c>
    </row>
    <row r="59" spans="1:6" x14ac:dyDescent="0.3">
      <c r="A59" s="14" t="s">
        <v>65</v>
      </c>
      <c r="B59" s="15">
        <f>SUMIFS(Cleaned_Data!$G$2:$G$501,Cleaned_Data!$J$2:$J$501,$A59,Cleaned_Data!$D$2:$D$501,$B$3,Cleaned_Data!$I$2:$I$501,$B$4,Cleaned_Data!$N$2:$N$501,$B$5,Cleaned_Data!$L$2:$L$501,$B$6)</f>
        <v>134835</v>
      </c>
      <c r="C59" s="16">
        <f>COUNTIFS(Cleaned_Data!$J$2:$J$501,$A59,Cleaned_Data!$D$2:$D$501,$B$3,Cleaned_Data!$I$2:$I$501,$B$4,Cleaned_Data!$N$2:$N$501,$B$5,Cleaned_Data!$L$2:$L$501,$B$6)</f>
        <v>38</v>
      </c>
      <c r="D59" s="16">
        <f>SUMIFS(Cleaned_Data!$F$2:$F$501,Cleaned_Data!$J$2:$J$501,$A59,Cleaned_Data!$D$2:$D$501,$B$3,Cleaned_Data!$I$2:$I$501,$B$4,Cleaned_Data!$N$2:$N$501,$B$5,Cleaned_Data!$L$2:$L$501,$B$6)</f>
        <v>65</v>
      </c>
      <c r="E59" s="17">
        <f>IF($B$60=0,0,B59/$B$60)</f>
        <v>8.6168112015030773E-2</v>
      </c>
      <c r="F59" s="15">
        <f>SUMIFS(Cleaned_Data!$G$2:$G$501,Cleaned_Data!$J$2:$J$501,$A59)</f>
        <v>134835</v>
      </c>
    </row>
    <row r="60" spans="1:6" x14ac:dyDescent="0.3">
      <c r="A60" s="18" t="s">
        <v>33</v>
      </c>
      <c r="B60" s="19">
        <f>SUM(B55:B59)</f>
        <v>1564790</v>
      </c>
      <c r="C60" s="20">
        <f>SUM(C55:C59)</f>
        <v>500</v>
      </c>
      <c r="D60" s="20">
        <f>SUM(D55:D59)</f>
        <v>810</v>
      </c>
      <c r="E60" s="21">
        <f>SUM(E55:E59)</f>
        <v>1</v>
      </c>
      <c r="F60" s="19">
        <f>SUM(F55:F59)</f>
        <v>1564790</v>
      </c>
    </row>
    <row r="63" spans="1:6" x14ac:dyDescent="0.3">
      <c r="A63" s="12" t="s">
        <v>66</v>
      </c>
    </row>
    <row r="64" spans="1:6" x14ac:dyDescent="0.3">
      <c r="A64" s="13" t="s">
        <v>22</v>
      </c>
      <c r="B64" s="13" t="s">
        <v>7</v>
      </c>
      <c r="C64" s="13" t="s">
        <v>23</v>
      </c>
      <c r="D64" s="13" t="s">
        <v>9</v>
      </c>
      <c r="E64" s="13" t="s">
        <v>24</v>
      </c>
      <c r="F64" s="13" t="s">
        <v>25</v>
      </c>
    </row>
    <row r="65" spans="1:7" x14ac:dyDescent="0.3">
      <c r="A65" s="14" t="s">
        <v>67</v>
      </c>
      <c r="B65" s="15">
        <f>SUMIFS(Cleaned_Data!$G$2:$G$501,Cleaned_Data!$N$2:$N$501,$A65,Cleaned_Data!$D$2:$D$501,$B$3,Cleaned_Data!$I$2:$I$501,$B$4,Cleaned_Data!$L$2:$L$501,$B$6)</f>
        <v>1161876</v>
      </c>
      <c r="C65" s="16">
        <f>COUNTIFS(Cleaned_Data!$N$2:$N$501,$A65,Cleaned_Data!$D$2:$D$501,$B$3,Cleaned_Data!$I$2:$I$501,$B$4,Cleaned_Data!$L$2:$L$501,$B$6)</f>
        <v>382</v>
      </c>
      <c r="D65" s="16">
        <f>SUMIFS(Cleaned_Data!$F$2:$F$501,Cleaned_Data!$N$2:$N$501,$A65,Cleaned_Data!$D$2:$D$501,$B$3,Cleaned_Data!$I$2:$I$501,$B$4,Cleaned_Data!$L$2:$L$501,$B$6)</f>
        <v>624</v>
      </c>
      <c r="E65" s="17">
        <f>IF($B$68=0,0,B65/$B$68)</f>
        <v>0.74251241380632549</v>
      </c>
      <c r="F65" s="15">
        <f>SUMIFS(Cleaned_Data!$G$2:$G$501,Cleaned_Data!$N$2:$N$501,$A65)</f>
        <v>1161876</v>
      </c>
    </row>
    <row r="66" spans="1:7" x14ac:dyDescent="0.3">
      <c r="A66" s="14" t="s">
        <v>68</v>
      </c>
      <c r="B66" s="15">
        <f>SUMIFS(Cleaned_Data!$G$2:$G$501,Cleaned_Data!$N$2:$N$501,$A66,Cleaned_Data!$D$2:$D$501,$B$3,Cleaned_Data!$I$2:$I$501,$B$4,Cleaned_Data!$L$2:$L$501,$B$6)</f>
        <v>190422</v>
      </c>
      <c r="C66" s="16">
        <f>COUNTIFS(Cleaned_Data!$N$2:$N$501,$A66,Cleaned_Data!$D$2:$D$501,$B$3,Cleaned_Data!$I$2:$I$501,$B$4,Cleaned_Data!$L$2:$L$501,$B$6)</f>
        <v>55</v>
      </c>
      <c r="D66" s="16">
        <f>SUMIFS(Cleaned_Data!$F$2:$F$501,Cleaned_Data!$N$2:$N$501,$A66,Cleaned_Data!$D$2:$D$501,$B$3,Cleaned_Data!$I$2:$I$501,$B$4,Cleaned_Data!$L$2:$L$501,$B$6)</f>
        <v>78</v>
      </c>
      <c r="E66" s="17">
        <f>IF($B$68=0,0,B66/$B$68)</f>
        <v>0.12169172860256008</v>
      </c>
      <c r="F66" s="15">
        <f>SUMIFS(Cleaned_Data!$G$2:$G$501,Cleaned_Data!$N$2:$N$501,$A66)</f>
        <v>190422</v>
      </c>
    </row>
    <row r="67" spans="1:7" x14ac:dyDescent="0.3">
      <c r="A67" s="14" t="s">
        <v>69</v>
      </c>
      <c r="B67" s="15">
        <f>SUMIFS(Cleaned_Data!$G$2:$G$501,Cleaned_Data!$N$2:$N$501,$A67,Cleaned_Data!$D$2:$D$501,$B$3,Cleaned_Data!$I$2:$I$501,$B$4,Cleaned_Data!$L$2:$L$501,$B$6)</f>
        <v>212492</v>
      </c>
      <c r="C67" s="16">
        <f>COUNTIFS(Cleaned_Data!$N$2:$N$501,$A67,Cleaned_Data!$D$2:$D$501,$B$3,Cleaned_Data!$I$2:$I$501,$B$4,Cleaned_Data!$L$2:$L$501,$B$6)</f>
        <v>63</v>
      </c>
      <c r="D67" s="16">
        <f>SUMIFS(Cleaned_Data!$F$2:$F$501,Cleaned_Data!$N$2:$N$501,$A67,Cleaned_Data!$D$2:$D$501,$B$3,Cleaned_Data!$I$2:$I$501,$B$4,Cleaned_Data!$L$2:$L$501,$B$6)</f>
        <v>108</v>
      </c>
      <c r="E67" s="17">
        <f>IF($B$68=0,0,B67/$B$68)</f>
        <v>0.13579585759111445</v>
      </c>
      <c r="F67" s="15">
        <f>SUMIFS(Cleaned_Data!$G$2:$G$501,Cleaned_Data!$N$2:$N$501,$A67)</f>
        <v>212492</v>
      </c>
    </row>
    <row r="68" spans="1:7" x14ac:dyDescent="0.3">
      <c r="A68" s="18" t="s">
        <v>33</v>
      </c>
      <c r="B68" s="19">
        <f>SUM(B65:B67)</f>
        <v>1564790</v>
      </c>
      <c r="C68" s="20">
        <f>SUM(C65:C67)</f>
        <v>500</v>
      </c>
      <c r="D68" s="20">
        <f>SUM(D65:D67)</f>
        <v>810</v>
      </c>
      <c r="E68" s="21">
        <f>SUM(E65:E67)</f>
        <v>1</v>
      </c>
      <c r="F68" s="19">
        <f>SUM(F65:F67)</f>
        <v>1564790</v>
      </c>
    </row>
    <row r="71" spans="1:7" x14ac:dyDescent="0.3">
      <c r="A71" s="12" t="s">
        <v>70</v>
      </c>
    </row>
    <row r="72" spans="1:7" x14ac:dyDescent="0.3">
      <c r="A72" s="13" t="s">
        <v>22</v>
      </c>
      <c r="B72" s="13" t="s">
        <v>7</v>
      </c>
      <c r="C72" s="13" t="s">
        <v>23</v>
      </c>
      <c r="D72" s="13" t="s">
        <v>9</v>
      </c>
      <c r="E72" s="13" t="s">
        <v>24</v>
      </c>
      <c r="F72" s="13" t="s">
        <v>25</v>
      </c>
      <c r="G72" s="13" t="s">
        <v>71</v>
      </c>
    </row>
    <row r="73" spans="1:7" x14ac:dyDescent="0.3">
      <c r="A73" s="14" t="s">
        <v>72</v>
      </c>
      <c r="B73" s="15">
        <f>SUMIFS(Cleaned_Data!$G$2:$G$501,Cleaned_Data!$H$2:$H$501,$A73,Cleaned_Data!$D$2:$D$501,$B$3,Cleaned_Data!$I$2:$I$501,$B$4,Cleaned_Data!$N$2:$N$501,$B$5,Cleaned_Data!$L$2:$L$501,$B$6)</f>
        <v>20988</v>
      </c>
      <c r="C73" s="16">
        <f>COUNTIFS(Cleaned_Data!$H$2:$H$501,$A73,Cleaned_Data!$D$2:$D$501,$B$3,Cleaned_Data!$I$2:$I$501,$B$4,Cleaned_Data!$N$2:$N$501,$B$5,Cleaned_Data!$L$2:$L$501,$B$6)</f>
        <v>9</v>
      </c>
      <c r="D73" s="16">
        <f>SUMIFS(Cleaned_Data!$F$2:$F$501,Cleaned_Data!$H$2:$H$501,$A73,Cleaned_Data!$D$2:$D$501,$B$3,Cleaned_Data!$I$2:$I$501,$B$4,Cleaned_Data!$N$2:$N$501,$B$5,Cleaned_Data!$L$2:$L$501,$B$6)</f>
        <v>12</v>
      </c>
      <c r="E73" s="17">
        <f t="shared" ref="E73:E104" si="5">IF($B$133=0,0,B73/$B$133)</f>
        <v>1.3412662401983654E-2</v>
      </c>
      <c r="F73" s="15">
        <f>SUMIFS(Cleaned_Data!$G$2:$G$501,Cleaned_Data!$H$2:$H$501,$A73)</f>
        <v>20988</v>
      </c>
      <c r="G73" s="22">
        <f t="shared" ref="G73:G104" si="6">B73+ROW()/1000000</f>
        <v>20988.000072999999</v>
      </c>
    </row>
    <row r="74" spans="1:7" x14ac:dyDescent="0.3">
      <c r="A74" s="14" t="s">
        <v>73</v>
      </c>
      <c r="B74" s="15">
        <f>SUMIFS(Cleaned_Data!$G$2:$G$501,Cleaned_Data!$H$2:$H$501,$A74,Cleaned_Data!$D$2:$D$501,$B$3,Cleaned_Data!$I$2:$I$501,$B$4,Cleaned_Data!$N$2:$N$501,$B$5,Cleaned_Data!$L$2:$L$501,$B$6)</f>
        <v>25986</v>
      </c>
      <c r="C74" s="16">
        <f>COUNTIFS(Cleaned_Data!$H$2:$H$501,$A74,Cleaned_Data!$D$2:$D$501,$B$3,Cleaned_Data!$I$2:$I$501,$B$4,Cleaned_Data!$N$2:$N$501,$B$5,Cleaned_Data!$L$2:$L$501,$B$6)</f>
        <v>9</v>
      </c>
      <c r="D74" s="16">
        <f>SUMIFS(Cleaned_Data!$F$2:$F$501,Cleaned_Data!$H$2:$H$501,$A74,Cleaned_Data!$D$2:$D$501,$B$3,Cleaned_Data!$I$2:$I$501,$B$4,Cleaned_Data!$N$2:$N$501,$B$5,Cleaned_Data!$L$2:$L$501,$B$6)</f>
        <v>14</v>
      </c>
      <c r="E74" s="17">
        <f t="shared" si="5"/>
        <v>1.6606701218693884E-2</v>
      </c>
      <c r="F74" s="15">
        <f>SUMIFS(Cleaned_Data!$G$2:$G$501,Cleaned_Data!$H$2:$H$501,$A74)</f>
        <v>25986</v>
      </c>
      <c r="G74" s="22">
        <f t="shared" si="6"/>
        <v>25986.000074</v>
      </c>
    </row>
    <row r="75" spans="1:7" x14ac:dyDescent="0.3">
      <c r="A75" s="14" t="s">
        <v>74</v>
      </c>
      <c r="B75" s="15">
        <f>SUMIFS(Cleaned_Data!$G$2:$G$501,Cleaned_Data!$H$2:$H$501,$A75,Cleaned_Data!$D$2:$D$501,$B$3,Cleaned_Data!$I$2:$I$501,$B$4,Cleaned_Data!$N$2:$N$501,$B$5,Cleaned_Data!$L$2:$L$501,$B$6)</f>
        <v>40576</v>
      </c>
      <c r="C75" s="16">
        <f>COUNTIFS(Cleaned_Data!$H$2:$H$501,$A75,Cleaned_Data!$D$2:$D$501,$B$3,Cleaned_Data!$I$2:$I$501,$B$4,Cleaned_Data!$N$2:$N$501,$B$5,Cleaned_Data!$L$2:$L$501,$B$6)</f>
        <v>12</v>
      </c>
      <c r="D75" s="16">
        <f>SUMIFS(Cleaned_Data!$F$2:$F$501,Cleaned_Data!$H$2:$H$501,$A75,Cleaned_Data!$D$2:$D$501,$B$3,Cleaned_Data!$I$2:$I$501,$B$4,Cleaned_Data!$N$2:$N$501,$B$5,Cleaned_Data!$L$2:$L$501,$B$6)</f>
        <v>24</v>
      </c>
      <c r="E75" s="17">
        <f t="shared" si="5"/>
        <v>2.593063605979077E-2</v>
      </c>
      <c r="F75" s="15">
        <f>SUMIFS(Cleaned_Data!$G$2:$G$501,Cleaned_Data!$H$2:$H$501,$A75)</f>
        <v>40576</v>
      </c>
      <c r="G75" s="22">
        <f t="shared" si="6"/>
        <v>40576.000075000004</v>
      </c>
    </row>
    <row r="76" spans="1:7" x14ac:dyDescent="0.3">
      <c r="A76" s="14" t="s">
        <v>75</v>
      </c>
      <c r="B76" s="15">
        <f>SUMIFS(Cleaned_Data!$G$2:$G$501,Cleaned_Data!$H$2:$H$501,$A76,Cleaned_Data!$D$2:$D$501,$B$3,Cleaned_Data!$I$2:$I$501,$B$4,Cleaned_Data!$N$2:$N$501,$B$5,Cleaned_Data!$L$2:$L$501,$B$6)</f>
        <v>35086</v>
      </c>
      <c r="C76" s="16">
        <f>COUNTIFS(Cleaned_Data!$H$2:$H$501,$A76,Cleaned_Data!$D$2:$D$501,$B$3,Cleaned_Data!$I$2:$I$501,$B$4,Cleaned_Data!$N$2:$N$501,$B$5,Cleaned_Data!$L$2:$L$501,$B$6)</f>
        <v>8</v>
      </c>
      <c r="D76" s="16">
        <f>SUMIFS(Cleaned_Data!$F$2:$F$501,Cleaned_Data!$H$2:$H$501,$A76,Cleaned_Data!$D$2:$D$501,$B$3,Cleaned_Data!$I$2:$I$501,$B$4,Cleaned_Data!$N$2:$N$501,$B$5,Cleaned_Data!$L$2:$L$501,$B$6)</f>
        <v>14</v>
      </c>
      <c r="E76" s="17">
        <f t="shared" si="5"/>
        <v>2.242217805584136E-2</v>
      </c>
      <c r="F76" s="15">
        <f>SUMIFS(Cleaned_Data!$G$2:$G$501,Cleaned_Data!$H$2:$H$501,$A76)</f>
        <v>35086</v>
      </c>
      <c r="G76" s="22">
        <f t="shared" si="6"/>
        <v>35086.000075999997</v>
      </c>
    </row>
    <row r="77" spans="1:7" x14ac:dyDescent="0.3">
      <c r="A77" s="14" t="s">
        <v>76</v>
      </c>
      <c r="B77" s="15">
        <f>SUMIFS(Cleaned_Data!$G$2:$G$501,Cleaned_Data!$H$2:$H$501,$A77,Cleaned_Data!$D$2:$D$501,$B$3,Cleaned_Data!$I$2:$I$501,$B$4,Cleaned_Data!$N$2:$N$501,$B$5,Cleaned_Data!$L$2:$L$501,$B$6)</f>
        <v>17083</v>
      </c>
      <c r="C77" s="16">
        <f>COUNTIFS(Cleaned_Data!$H$2:$H$501,$A77,Cleaned_Data!$D$2:$D$501,$B$3,Cleaned_Data!$I$2:$I$501,$B$4,Cleaned_Data!$N$2:$N$501,$B$5,Cleaned_Data!$L$2:$L$501,$B$6)</f>
        <v>8</v>
      </c>
      <c r="D77" s="16">
        <f>SUMIFS(Cleaned_Data!$F$2:$F$501,Cleaned_Data!$H$2:$H$501,$A77,Cleaned_Data!$D$2:$D$501,$B$3,Cleaned_Data!$I$2:$I$501,$B$4,Cleaned_Data!$N$2:$N$501,$B$5,Cleaned_Data!$L$2:$L$501,$B$6)</f>
        <v>17</v>
      </c>
      <c r="E77" s="17">
        <f t="shared" si="5"/>
        <v>1.0917119869119817E-2</v>
      </c>
      <c r="F77" s="15">
        <f>SUMIFS(Cleaned_Data!$G$2:$G$501,Cleaned_Data!$H$2:$H$501,$A77)</f>
        <v>17083</v>
      </c>
      <c r="G77" s="22">
        <f t="shared" si="6"/>
        <v>17083.000077000001</v>
      </c>
    </row>
    <row r="78" spans="1:7" x14ac:dyDescent="0.3">
      <c r="A78" s="14" t="s">
        <v>77</v>
      </c>
      <c r="B78" s="15">
        <f>SUMIFS(Cleaned_Data!$G$2:$G$501,Cleaned_Data!$H$2:$H$501,$A78,Cleaned_Data!$D$2:$D$501,$B$3,Cleaned_Data!$I$2:$I$501,$B$4,Cleaned_Data!$N$2:$N$501,$B$5,Cleaned_Data!$L$2:$L$501,$B$6)</f>
        <v>30478</v>
      </c>
      <c r="C78" s="16">
        <f>COUNTIFS(Cleaned_Data!$H$2:$H$501,$A78,Cleaned_Data!$D$2:$D$501,$B$3,Cleaned_Data!$I$2:$I$501,$B$4,Cleaned_Data!$N$2:$N$501,$B$5,Cleaned_Data!$L$2:$L$501,$B$6)</f>
        <v>11</v>
      </c>
      <c r="D78" s="16">
        <f>SUMIFS(Cleaned_Data!$F$2:$F$501,Cleaned_Data!$H$2:$H$501,$A78,Cleaned_Data!$D$2:$D$501,$B$3,Cleaned_Data!$I$2:$I$501,$B$4,Cleaned_Data!$N$2:$N$501,$B$5,Cleaned_Data!$L$2:$L$501,$B$6)</f>
        <v>22</v>
      </c>
      <c r="E78" s="17">
        <f t="shared" si="5"/>
        <v>1.9477373960723163E-2</v>
      </c>
      <c r="F78" s="15">
        <f>SUMIFS(Cleaned_Data!$G$2:$G$501,Cleaned_Data!$H$2:$H$501,$A78)</f>
        <v>30478</v>
      </c>
      <c r="G78" s="22">
        <f t="shared" si="6"/>
        <v>30478.000078000001</v>
      </c>
    </row>
    <row r="79" spans="1:7" x14ac:dyDescent="0.3">
      <c r="A79" s="14" t="s">
        <v>78</v>
      </c>
      <c r="B79" s="15">
        <f>SUMIFS(Cleaned_Data!$G$2:$G$501,Cleaned_Data!$H$2:$H$501,$A79,Cleaned_Data!$D$2:$D$501,$B$3,Cleaned_Data!$I$2:$I$501,$B$4,Cleaned_Data!$N$2:$N$501,$B$5,Cleaned_Data!$L$2:$L$501,$B$6)</f>
        <v>27389</v>
      </c>
      <c r="C79" s="16">
        <f>COUNTIFS(Cleaned_Data!$H$2:$H$501,$A79,Cleaned_Data!$D$2:$D$501,$B$3,Cleaned_Data!$I$2:$I$501,$B$4,Cleaned_Data!$N$2:$N$501,$B$5,Cleaned_Data!$L$2:$L$501,$B$6)</f>
        <v>9</v>
      </c>
      <c r="D79" s="16">
        <f>SUMIFS(Cleaned_Data!$F$2:$F$501,Cleaned_Data!$H$2:$H$501,$A79,Cleaned_Data!$D$2:$D$501,$B$3,Cleaned_Data!$I$2:$I$501,$B$4,Cleaned_Data!$N$2:$N$501,$B$5,Cleaned_Data!$L$2:$L$501,$B$6)</f>
        <v>11</v>
      </c>
      <c r="E79" s="17">
        <f t="shared" si="5"/>
        <v>1.750330715303651E-2</v>
      </c>
      <c r="F79" s="15">
        <f>SUMIFS(Cleaned_Data!$G$2:$G$501,Cleaned_Data!$H$2:$H$501,$A79)</f>
        <v>27389</v>
      </c>
      <c r="G79" s="22">
        <f t="shared" si="6"/>
        <v>27389.000079000001</v>
      </c>
    </row>
    <row r="80" spans="1:7" x14ac:dyDescent="0.3">
      <c r="A80" s="14" t="s">
        <v>79</v>
      </c>
      <c r="B80" s="15">
        <f>SUMIFS(Cleaned_Data!$G$2:$G$501,Cleaned_Data!$H$2:$H$501,$A80,Cleaned_Data!$D$2:$D$501,$B$3,Cleaned_Data!$I$2:$I$501,$B$4,Cleaned_Data!$N$2:$N$501,$B$5,Cleaned_Data!$L$2:$L$501,$B$6)</f>
        <v>23585</v>
      </c>
      <c r="C80" s="16">
        <f>COUNTIFS(Cleaned_Data!$H$2:$H$501,$A80,Cleaned_Data!$D$2:$D$501,$B$3,Cleaned_Data!$I$2:$I$501,$B$4,Cleaned_Data!$N$2:$N$501,$B$5,Cleaned_Data!$L$2:$L$501,$B$6)</f>
        <v>9</v>
      </c>
      <c r="D80" s="16">
        <f>SUMIFS(Cleaned_Data!$F$2:$F$501,Cleaned_Data!$H$2:$H$501,$A80,Cleaned_Data!$D$2:$D$501,$B$3,Cleaned_Data!$I$2:$I$501,$B$4,Cleaned_Data!$N$2:$N$501,$B$5,Cleaned_Data!$L$2:$L$501,$B$6)</f>
        <v>15</v>
      </c>
      <c r="E80" s="17">
        <f t="shared" si="5"/>
        <v>1.5072310022431125E-2</v>
      </c>
      <c r="F80" s="15">
        <f>SUMIFS(Cleaned_Data!$G$2:$G$501,Cleaned_Data!$H$2:$H$501,$A80)</f>
        <v>23585</v>
      </c>
      <c r="G80" s="22">
        <f t="shared" si="6"/>
        <v>23585.000080000002</v>
      </c>
    </row>
    <row r="81" spans="1:7" x14ac:dyDescent="0.3">
      <c r="A81" s="14" t="s">
        <v>80</v>
      </c>
      <c r="B81" s="15">
        <f>SUMIFS(Cleaned_Data!$G$2:$G$501,Cleaned_Data!$H$2:$H$501,$A81,Cleaned_Data!$D$2:$D$501,$B$3,Cleaned_Data!$I$2:$I$501,$B$4,Cleaned_Data!$N$2:$N$501,$B$5,Cleaned_Data!$L$2:$L$501,$B$6)</f>
        <v>59983</v>
      </c>
      <c r="C81" s="16">
        <f>COUNTIFS(Cleaned_Data!$H$2:$H$501,$A81,Cleaned_Data!$D$2:$D$501,$B$3,Cleaned_Data!$I$2:$I$501,$B$4,Cleaned_Data!$N$2:$N$501,$B$5,Cleaned_Data!$L$2:$L$501,$B$6)</f>
        <v>9</v>
      </c>
      <c r="D81" s="16">
        <f>SUMIFS(Cleaned_Data!$F$2:$F$501,Cleaned_Data!$H$2:$H$501,$A81,Cleaned_Data!$D$2:$D$501,$B$3,Cleaned_Data!$I$2:$I$501,$B$4,Cleaned_Data!$N$2:$N$501,$B$5,Cleaned_Data!$L$2:$L$501,$B$6)</f>
        <v>17</v>
      </c>
      <c r="E81" s="17">
        <f t="shared" si="5"/>
        <v>3.8332939244243636E-2</v>
      </c>
      <c r="F81" s="15">
        <f>SUMIFS(Cleaned_Data!$G$2:$G$501,Cleaned_Data!$H$2:$H$501,$A81)</f>
        <v>59983</v>
      </c>
      <c r="G81" s="22">
        <f t="shared" si="6"/>
        <v>59983.000080999998</v>
      </c>
    </row>
    <row r="82" spans="1:7" x14ac:dyDescent="0.3">
      <c r="A82" s="14" t="s">
        <v>81</v>
      </c>
      <c r="B82" s="15">
        <f>SUMIFS(Cleaned_Data!$G$2:$G$501,Cleaned_Data!$H$2:$H$501,$A82,Cleaned_Data!$D$2:$D$501,$B$3,Cleaned_Data!$I$2:$I$501,$B$4,Cleaned_Data!$N$2:$N$501,$B$5,Cleaned_Data!$L$2:$L$501,$B$6)</f>
        <v>33487</v>
      </c>
      <c r="C82" s="16">
        <f>COUNTIFS(Cleaned_Data!$H$2:$H$501,$A82,Cleaned_Data!$D$2:$D$501,$B$3,Cleaned_Data!$I$2:$I$501,$B$4,Cleaned_Data!$N$2:$N$501,$B$5,Cleaned_Data!$L$2:$L$501,$B$6)</f>
        <v>8</v>
      </c>
      <c r="D82" s="16">
        <f>SUMIFS(Cleaned_Data!$F$2:$F$501,Cleaned_Data!$H$2:$H$501,$A82,Cleaned_Data!$D$2:$D$501,$B$3,Cleaned_Data!$I$2:$I$501,$B$4,Cleaned_Data!$N$2:$N$501,$B$5,Cleaned_Data!$L$2:$L$501,$B$6)</f>
        <v>13</v>
      </c>
      <c r="E82" s="17">
        <f t="shared" si="5"/>
        <v>2.1400315697314015E-2</v>
      </c>
      <c r="F82" s="15">
        <f>SUMIFS(Cleaned_Data!$G$2:$G$501,Cleaned_Data!$H$2:$H$501,$A82)</f>
        <v>33487</v>
      </c>
      <c r="G82" s="22">
        <f t="shared" si="6"/>
        <v>33487.000081999999</v>
      </c>
    </row>
    <row r="83" spans="1:7" x14ac:dyDescent="0.3">
      <c r="A83" s="14" t="s">
        <v>82</v>
      </c>
      <c r="B83" s="15">
        <f>SUMIFS(Cleaned_Data!$G$2:$G$501,Cleaned_Data!$H$2:$H$501,$A83,Cleaned_Data!$D$2:$D$501,$B$3,Cleaned_Data!$I$2:$I$501,$B$4,Cleaned_Data!$N$2:$N$501,$B$5,Cleaned_Data!$L$2:$L$501,$B$6)</f>
        <v>29191</v>
      </c>
      <c r="C83" s="16">
        <f>COUNTIFS(Cleaned_Data!$H$2:$H$501,$A83,Cleaned_Data!$D$2:$D$501,$B$3,Cleaned_Data!$I$2:$I$501,$B$4,Cleaned_Data!$N$2:$N$501,$B$5,Cleaned_Data!$L$2:$L$501,$B$6)</f>
        <v>5</v>
      </c>
      <c r="D83" s="16">
        <f>SUMIFS(Cleaned_Data!$F$2:$F$501,Cleaned_Data!$H$2:$H$501,$A83,Cleaned_Data!$D$2:$D$501,$B$3,Cleaned_Data!$I$2:$I$501,$B$4,Cleaned_Data!$N$2:$N$501,$B$5,Cleaned_Data!$L$2:$L$501,$B$6)</f>
        <v>9</v>
      </c>
      <c r="E83" s="17">
        <f t="shared" si="5"/>
        <v>1.8654899379469448E-2</v>
      </c>
      <c r="F83" s="15">
        <f>SUMIFS(Cleaned_Data!$G$2:$G$501,Cleaned_Data!$H$2:$H$501,$A83)</f>
        <v>29191</v>
      </c>
      <c r="G83" s="22">
        <f t="shared" si="6"/>
        <v>29191.000082999999</v>
      </c>
    </row>
    <row r="84" spans="1:7" x14ac:dyDescent="0.3">
      <c r="A84" s="14" t="s">
        <v>83</v>
      </c>
      <c r="B84" s="15">
        <f>SUMIFS(Cleaned_Data!$G$2:$G$501,Cleaned_Data!$H$2:$H$501,$A84,Cleaned_Data!$D$2:$D$501,$B$3,Cleaned_Data!$I$2:$I$501,$B$4,Cleaned_Data!$N$2:$N$501,$B$5,Cleaned_Data!$L$2:$L$501,$B$6)</f>
        <v>25186</v>
      </c>
      <c r="C84" s="16">
        <f>COUNTIFS(Cleaned_Data!$H$2:$H$501,$A84,Cleaned_Data!$D$2:$D$501,$B$3,Cleaned_Data!$I$2:$I$501,$B$4,Cleaned_Data!$N$2:$N$501,$B$5,Cleaned_Data!$L$2:$L$501,$B$6)</f>
        <v>8</v>
      </c>
      <c r="D84" s="16">
        <f>SUMIFS(Cleaned_Data!$F$2:$F$501,Cleaned_Data!$H$2:$H$501,$A84,Cleaned_Data!$D$2:$D$501,$B$3,Cleaned_Data!$I$2:$I$501,$B$4,Cleaned_Data!$N$2:$N$501,$B$5,Cleaned_Data!$L$2:$L$501,$B$6)</f>
        <v>14</v>
      </c>
      <c r="E84" s="17">
        <f t="shared" si="5"/>
        <v>1.6095450507735861E-2</v>
      </c>
      <c r="F84" s="15">
        <f>SUMIFS(Cleaned_Data!$G$2:$G$501,Cleaned_Data!$H$2:$H$501,$A84)</f>
        <v>25186</v>
      </c>
      <c r="G84" s="22">
        <f t="shared" si="6"/>
        <v>25186.000083999999</v>
      </c>
    </row>
    <row r="85" spans="1:7" x14ac:dyDescent="0.3">
      <c r="A85" s="14" t="s">
        <v>84</v>
      </c>
      <c r="B85" s="15">
        <f>SUMIFS(Cleaned_Data!$G$2:$G$501,Cleaned_Data!$H$2:$H$501,$A85,Cleaned_Data!$D$2:$D$501,$B$3,Cleaned_Data!$I$2:$I$501,$B$4,Cleaned_Data!$N$2:$N$501,$B$5,Cleaned_Data!$L$2:$L$501,$B$6)</f>
        <v>16892</v>
      </c>
      <c r="C85" s="16">
        <f>COUNTIFS(Cleaned_Data!$H$2:$H$501,$A85,Cleaned_Data!$D$2:$D$501,$B$3,Cleaned_Data!$I$2:$I$501,$B$4,Cleaned_Data!$N$2:$N$501,$B$5,Cleaned_Data!$L$2:$L$501,$B$6)</f>
        <v>5</v>
      </c>
      <c r="D85" s="16">
        <f>SUMIFS(Cleaned_Data!$F$2:$F$501,Cleaned_Data!$H$2:$H$501,$A85,Cleaned_Data!$D$2:$D$501,$B$3,Cleaned_Data!$I$2:$I$501,$B$4,Cleaned_Data!$N$2:$N$501,$B$5,Cleaned_Data!$L$2:$L$501,$B$6)</f>
        <v>8</v>
      </c>
      <c r="E85" s="17">
        <f t="shared" si="5"/>
        <v>1.0795058761878591E-2</v>
      </c>
      <c r="F85" s="15">
        <f>SUMIFS(Cleaned_Data!$G$2:$G$501,Cleaned_Data!$H$2:$H$501,$A85)</f>
        <v>16892</v>
      </c>
      <c r="G85" s="22">
        <f t="shared" si="6"/>
        <v>16892.000085</v>
      </c>
    </row>
    <row r="86" spans="1:7" x14ac:dyDescent="0.3">
      <c r="A86" s="14" t="s">
        <v>85</v>
      </c>
      <c r="B86" s="15">
        <f>SUMIFS(Cleaned_Data!$G$2:$G$501,Cleaned_Data!$H$2:$H$501,$A86,Cleaned_Data!$D$2:$D$501,$B$3,Cleaned_Data!$I$2:$I$501,$B$4,Cleaned_Data!$N$2:$N$501,$B$5,Cleaned_Data!$L$2:$L$501,$B$6)</f>
        <v>9993</v>
      </c>
      <c r="C86" s="16">
        <f>COUNTIFS(Cleaned_Data!$H$2:$H$501,$A86,Cleaned_Data!$D$2:$D$501,$B$3,Cleaned_Data!$I$2:$I$501,$B$4,Cleaned_Data!$N$2:$N$501,$B$5,Cleaned_Data!$L$2:$L$501,$B$6)</f>
        <v>5</v>
      </c>
      <c r="D86" s="16">
        <f>SUMIFS(Cleaned_Data!$F$2:$F$501,Cleaned_Data!$H$2:$H$501,$A86,Cleaned_Data!$D$2:$D$501,$B$3,Cleaned_Data!$I$2:$I$501,$B$4,Cleaned_Data!$N$2:$N$501,$B$5,Cleaned_Data!$L$2:$L$501,$B$6)</f>
        <v>7</v>
      </c>
      <c r="E86" s="17">
        <f t="shared" si="5"/>
        <v>6.3861604432543665E-3</v>
      </c>
      <c r="F86" s="15">
        <f>SUMIFS(Cleaned_Data!$G$2:$G$501,Cleaned_Data!$H$2:$H$501,$A86)</f>
        <v>9993</v>
      </c>
      <c r="G86" s="22">
        <f t="shared" si="6"/>
        <v>9993.000086</v>
      </c>
    </row>
    <row r="87" spans="1:7" x14ac:dyDescent="0.3">
      <c r="A87" s="14" t="s">
        <v>86</v>
      </c>
      <c r="B87" s="15">
        <f>SUMIFS(Cleaned_Data!$G$2:$G$501,Cleaned_Data!$H$2:$H$501,$A87,Cleaned_Data!$D$2:$D$501,$B$3,Cleaned_Data!$I$2:$I$501,$B$4,Cleaned_Data!$N$2:$N$501,$B$5,Cleaned_Data!$L$2:$L$501,$B$6)</f>
        <v>50384</v>
      </c>
      <c r="C87" s="16">
        <f>COUNTIFS(Cleaned_Data!$H$2:$H$501,$A87,Cleaned_Data!$D$2:$D$501,$B$3,Cleaned_Data!$I$2:$I$501,$B$4,Cleaned_Data!$N$2:$N$501,$B$5,Cleaned_Data!$L$2:$L$501,$B$6)</f>
        <v>9</v>
      </c>
      <c r="D87" s="16">
        <f>SUMIFS(Cleaned_Data!$F$2:$F$501,Cleaned_Data!$H$2:$H$501,$A87,Cleaned_Data!$D$2:$D$501,$B$3,Cleaned_Data!$I$2:$I$501,$B$4,Cleaned_Data!$N$2:$N$501,$B$5,Cleaned_Data!$L$2:$L$501,$B$6)</f>
        <v>16</v>
      </c>
      <c r="E87" s="17">
        <f t="shared" si="5"/>
        <v>3.2198569776136096E-2</v>
      </c>
      <c r="F87" s="15">
        <f>SUMIFS(Cleaned_Data!$G$2:$G$501,Cleaned_Data!$H$2:$H$501,$A87)</f>
        <v>50384</v>
      </c>
      <c r="G87" s="22">
        <f t="shared" si="6"/>
        <v>50384.000087</v>
      </c>
    </row>
    <row r="88" spans="1:7" x14ac:dyDescent="0.3">
      <c r="A88" s="14" t="s">
        <v>87</v>
      </c>
      <c r="B88" s="15">
        <f>SUMIFS(Cleaned_Data!$G$2:$G$501,Cleaned_Data!$H$2:$H$501,$A88,Cleaned_Data!$D$2:$D$501,$B$3,Cleaned_Data!$I$2:$I$501,$B$4,Cleaned_Data!$N$2:$N$501,$B$5,Cleaned_Data!$L$2:$L$501,$B$6)</f>
        <v>23586</v>
      </c>
      <c r="C88" s="16">
        <f>COUNTIFS(Cleaned_Data!$H$2:$H$501,$A88,Cleaned_Data!$D$2:$D$501,$B$3,Cleaned_Data!$I$2:$I$501,$B$4,Cleaned_Data!$N$2:$N$501,$B$5,Cleaned_Data!$L$2:$L$501,$B$6)</f>
        <v>9</v>
      </c>
      <c r="D88" s="16">
        <f>SUMIFS(Cleaned_Data!$F$2:$F$501,Cleaned_Data!$H$2:$H$501,$A88,Cleaned_Data!$D$2:$D$501,$B$3,Cleaned_Data!$I$2:$I$501,$B$4,Cleaned_Data!$N$2:$N$501,$B$5,Cleaned_Data!$L$2:$L$501,$B$6)</f>
        <v>14</v>
      </c>
      <c r="E88" s="17">
        <f t="shared" si="5"/>
        <v>1.5072949085819822E-2</v>
      </c>
      <c r="F88" s="15">
        <f>SUMIFS(Cleaned_Data!$G$2:$G$501,Cleaned_Data!$H$2:$H$501,$A88)</f>
        <v>23586</v>
      </c>
      <c r="G88" s="22">
        <f t="shared" si="6"/>
        <v>23586.000088000001</v>
      </c>
    </row>
    <row r="89" spans="1:7" x14ac:dyDescent="0.3">
      <c r="A89" s="14" t="s">
        <v>88</v>
      </c>
      <c r="B89" s="15">
        <f>SUMIFS(Cleaned_Data!$G$2:$G$501,Cleaned_Data!$H$2:$H$501,$A89,Cleaned_Data!$D$2:$D$501,$B$3,Cleaned_Data!$I$2:$I$501,$B$4,Cleaned_Data!$N$2:$N$501,$B$5,Cleaned_Data!$L$2:$L$501,$B$6)</f>
        <v>17990</v>
      </c>
      <c r="C89" s="16">
        <f>COUNTIFS(Cleaned_Data!$H$2:$H$501,$A89,Cleaned_Data!$D$2:$D$501,$B$3,Cleaned_Data!$I$2:$I$501,$B$4,Cleaned_Data!$N$2:$N$501,$B$5,Cleaned_Data!$L$2:$L$501,$B$6)</f>
        <v>5</v>
      </c>
      <c r="D89" s="16">
        <f>SUMIFS(Cleaned_Data!$F$2:$F$501,Cleaned_Data!$H$2:$H$501,$A89,Cleaned_Data!$D$2:$D$501,$B$3,Cleaned_Data!$I$2:$I$501,$B$4,Cleaned_Data!$N$2:$N$501,$B$5,Cleaned_Data!$L$2:$L$501,$B$6)</f>
        <v>10</v>
      </c>
      <c r="E89" s="17">
        <f t="shared" si="5"/>
        <v>1.1496750362668473E-2</v>
      </c>
      <c r="F89" s="15">
        <f>SUMIFS(Cleaned_Data!$G$2:$G$501,Cleaned_Data!$H$2:$H$501,$A89)</f>
        <v>17990</v>
      </c>
      <c r="G89" s="22">
        <f t="shared" si="6"/>
        <v>17990.000089000001</v>
      </c>
    </row>
    <row r="90" spans="1:7" x14ac:dyDescent="0.3">
      <c r="A90" s="14" t="s">
        <v>89</v>
      </c>
      <c r="B90" s="15">
        <f>SUMIFS(Cleaned_Data!$G$2:$G$501,Cleaned_Data!$H$2:$H$501,$A90,Cleaned_Data!$D$2:$D$501,$B$3,Cleaned_Data!$I$2:$I$501,$B$4,Cleaned_Data!$N$2:$N$501,$B$5,Cleaned_Data!$L$2:$L$501,$B$6)</f>
        <v>25691</v>
      </c>
      <c r="C90" s="16">
        <f>COUNTIFS(Cleaned_Data!$H$2:$H$501,$A90,Cleaned_Data!$D$2:$D$501,$B$3,Cleaned_Data!$I$2:$I$501,$B$4,Cleaned_Data!$N$2:$N$501,$B$5,Cleaned_Data!$L$2:$L$501,$B$6)</f>
        <v>6</v>
      </c>
      <c r="D90" s="16">
        <f>SUMIFS(Cleaned_Data!$F$2:$F$501,Cleaned_Data!$H$2:$H$501,$A90,Cleaned_Data!$D$2:$D$501,$B$3,Cleaned_Data!$I$2:$I$501,$B$4,Cleaned_Data!$N$2:$N$501,$B$5,Cleaned_Data!$L$2:$L$501,$B$6)</f>
        <v>9</v>
      </c>
      <c r="E90" s="17">
        <f t="shared" si="5"/>
        <v>1.6418177519028111E-2</v>
      </c>
      <c r="F90" s="15">
        <f>SUMIFS(Cleaned_Data!$G$2:$G$501,Cleaned_Data!$H$2:$H$501,$A90)</f>
        <v>25691</v>
      </c>
      <c r="G90" s="22">
        <f t="shared" si="6"/>
        <v>25691.000090000001</v>
      </c>
    </row>
    <row r="91" spans="1:7" x14ac:dyDescent="0.3">
      <c r="A91" s="14" t="s">
        <v>90</v>
      </c>
      <c r="B91" s="15">
        <f>SUMIFS(Cleaned_Data!$G$2:$G$501,Cleaned_Data!$H$2:$H$501,$A91,Cleaned_Data!$D$2:$D$501,$B$3,Cleaned_Data!$I$2:$I$501,$B$4,Cleaned_Data!$N$2:$N$501,$B$5,Cleaned_Data!$L$2:$L$501,$B$6)</f>
        <v>21190</v>
      </c>
      <c r="C91" s="16">
        <f>COUNTIFS(Cleaned_Data!$H$2:$H$501,$A91,Cleaned_Data!$D$2:$D$501,$B$3,Cleaned_Data!$I$2:$I$501,$B$4,Cleaned_Data!$N$2:$N$501,$B$5,Cleaned_Data!$L$2:$L$501,$B$6)</f>
        <v>7</v>
      </c>
      <c r="D91" s="16">
        <f>SUMIFS(Cleaned_Data!$F$2:$F$501,Cleaned_Data!$H$2:$H$501,$A91,Cleaned_Data!$D$2:$D$501,$B$3,Cleaned_Data!$I$2:$I$501,$B$4,Cleaned_Data!$N$2:$N$501,$B$5,Cleaned_Data!$L$2:$L$501,$B$6)</f>
        <v>10</v>
      </c>
      <c r="E91" s="17">
        <f t="shared" si="5"/>
        <v>1.3541753206500553E-2</v>
      </c>
      <c r="F91" s="15">
        <f>SUMIFS(Cleaned_Data!$G$2:$G$501,Cleaned_Data!$H$2:$H$501,$A91)</f>
        <v>21190</v>
      </c>
      <c r="G91" s="22">
        <f t="shared" si="6"/>
        <v>21190.000091000002</v>
      </c>
    </row>
    <row r="92" spans="1:7" x14ac:dyDescent="0.3">
      <c r="A92" s="14" t="s">
        <v>91</v>
      </c>
      <c r="B92" s="15">
        <f>SUMIFS(Cleaned_Data!$G$2:$G$501,Cleaned_Data!$H$2:$H$501,$A92,Cleaned_Data!$D$2:$D$501,$B$3,Cleaned_Data!$I$2:$I$501,$B$4,Cleaned_Data!$N$2:$N$501,$B$5,Cleaned_Data!$L$2:$L$501,$B$6)</f>
        <v>22286</v>
      </c>
      <c r="C92" s="16">
        <f>COUNTIFS(Cleaned_Data!$H$2:$H$501,$A92,Cleaned_Data!$D$2:$D$501,$B$3,Cleaned_Data!$I$2:$I$501,$B$4,Cleaned_Data!$N$2:$N$501,$B$5,Cleaned_Data!$L$2:$L$501,$B$6)</f>
        <v>10</v>
      </c>
      <c r="D92" s="16">
        <f>SUMIFS(Cleaned_Data!$F$2:$F$501,Cleaned_Data!$H$2:$H$501,$A92,Cleaned_Data!$D$2:$D$501,$B$3,Cleaned_Data!$I$2:$I$501,$B$4,Cleaned_Data!$N$2:$N$501,$B$5,Cleaned_Data!$L$2:$L$501,$B$6)</f>
        <v>14</v>
      </c>
      <c r="E92" s="17">
        <f t="shared" si="5"/>
        <v>1.4242166680513041E-2</v>
      </c>
      <c r="F92" s="15">
        <f>SUMIFS(Cleaned_Data!$G$2:$G$501,Cleaned_Data!$H$2:$H$501,$A92)</f>
        <v>22286</v>
      </c>
      <c r="G92" s="22">
        <f t="shared" si="6"/>
        <v>22286.000091999998</v>
      </c>
    </row>
    <row r="93" spans="1:7" x14ac:dyDescent="0.3">
      <c r="A93" s="14" t="s">
        <v>92</v>
      </c>
      <c r="B93" s="15">
        <f>SUMIFS(Cleaned_Data!$G$2:$G$501,Cleaned_Data!$H$2:$H$501,$A93,Cleaned_Data!$D$2:$D$501,$B$3,Cleaned_Data!$I$2:$I$501,$B$4,Cleaned_Data!$N$2:$N$501,$B$5,Cleaned_Data!$L$2:$L$501,$B$6)</f>
        <v>45980</v>
      </c>
      <c r="C93" s="16">
        <f>COUNTIFS(Cleaned_Data!$H$2:$H$501,$A93,Cleaned_Data!$D$2:$D$501,$B$3,Cleaned_Data!$I$2:$I$501,$B$4,Cleaned_Data!$N$2:$N$501,$B$5,Cleaned_Data!$L$2:$L$501,$B$6)</f>
        <v>10</v>
      </c>
      <c r="D93" s="16">
        <f>SUMIFS(Cleaned_Data!$F$2:$F$501,Cleaned_Data!$H$2:$H$501,$A93,Cleaned_Data!$D$2:$D$501,$B$3,Cleaned_Data!$I$2:$I$501,$B$4,Cleaned_Data!$N$2:$N$501,$B$5,Cleaned_Data!$L$2:$L$501,$B$6)</f>
        <v>20</v>
      </c>
      <c r="E93" s="17">
        <f t="shared" si="5"/>
        <v>2.9384134612312197E-2</v>
      </c>
      <c r="F93" s="15">
        <f>SUMIFS(Cleaned_Data!$G$2:$G$501,Cleaned_Data!$H$2:$H$501,$A93)</f>
        <v>45980</v>
      </c>
      <c r="G93" s="22">
        <f t="shared" si="6"/>
        <v>45980.000093000002</v>
      </c>
    </row>
    <row r="94" spans="1:7" x14ac:dyDescent="0.3">
      <c r="A94" s="14" t="s">
        <v>93</v>
      </c>
      <c r="B94" s="15">
        <f>SUMIFS(Cleaned_Data!$G$2:$G$501,Cleaned_Data!$H$2:$H$501,$A94,Cleaned_Data!$D$2:$D$501,$B$3,Cleaned_Data!$I$2:$I$501,$B$4,Cleaned_Data!$N$2:$N$501,$B$5,Cleaned_Data!$L$2:$L$501,$B$6)</f>
        <v>26484</v>
      </c>
      <c r="C94" s="16">
        <f>COUNTIFS(Cleaned_Data!$H$2:$H$501,$A94,Cleaned_Data!$D$2:$D$501,$B$3,Cleaned_Data!$I$2:$I$501,$B$4,Cleaned_Data!$N$2:$N$501,$B$5,Cleaned_Data!$L$2:$L$501,$B$6)</f>
        <v>9</v>
      </c>
      <c r="D94" s="16">
        <f>SUMIFS(Cleaned_Data!$F$2:$F$501,Cleaned_Data!$H$2:$H$501,$A94,Cleaned_Data!$D$2:$D$501,$B$3,Cleaned_Data!$I$2:$I$501,$B$4,Cleaned_Data!$N$2:$N$501,$B$5,Cleaned_Data!$L$2:$L$501,$B$6)</f>
        <v>16</v>
      </c>
      <c r="E94" s="17">
        <f t="shared" si="5"/>
        <v>1.692495478626525E-2</v>
      </c>
      <c r="F94" s="15">
        <f>SUMIFS(Cleaned_Data!$G$2:$G$501,Cleaned_Data!$H$2:$H$501,$A94)</f>
        <v>26484</v>
      </c>
      <c r="G94" s="22">
        <f t="shared" si="6"/>
        <v>26484.000093999999</v>
      </c>
    </row>
    <row r="95" spans="1:7" x14ac:dyDescent="0.3">
      <c r="A95" s="14" t="s">
        <v>94</v>
      </c>
      <c r="B95" s="15">
        <f>SUMIFS(Cleaned_Data!$G$2:$G$501,Cleaned_Data!$H$2:$H$501,$A95,Cleaned_Data!$D$2:$D$501,$B$3,Cleaned_Data!$I$2:$I$501,$B$4,Cleaned_Data!$N$2:$N$501,$B$5,Cleaned_Data!$L$2:$L$501,$B$6)</f>
        <v>18887</v>
      </c>
      <c r="C95" s="16">
        <f>COUNTIFS(Cleaned_Data!$H$2:$H$501,$A95,Cleaned_Data!$D$2:$D$501,$B$3,Cleaned_Data!$I$2:$I$501,$B$4,Cleaned_Data!$N$2:$N$501,$B$5,Cleaned_Data!$L$2:$L$501,$B$6)</f>
        <v>10</v>
      </c>
      <c r="D95" s="16">
        <f>SUMIFS(Cleaned_Data!$F$2:$F$501,Cleaned_Data!$H$2:$H$501,$A95,Cleaned_Data!$D$2:$D$501,$B$3,Cleaned_Data!$I$2:$I$501,$B$4,Cleaned_Data!$N$2:$N$501,$B$5,Cleaned_Data!$L$2:$L$501,$B$6)</f>
        <v>13</v>
      </c>
      <c r="E95" s="17">
        <f t="shared" si="5"/>
        <v>1.2069990222330153E-2</v>
      </c>
      <c r="F95" s="15">
        <f>SUMIFS(Cleaned_Data!$G$2:$G$501,Cleaned_Data!$H$2:$H$501,$A95)</f>
        <v>18887</v>
      </c>
      <c r="G95" s="22">
        <f t="shared" si="6"/>
        <v>18887.000094999999</v>
      </c>
    </row>
    <row r="96" spans="1:7" x14ac:dyDescent="0.3">
      <c r="A96" s="14" t="s">
        <v>95</v>
      </c>
      <c r="B96" s="15">
        <f>SUMIFS(Cleaned_Data!$G$2:$G$501,Cleaned_Data!$H$2:$H$501,$A96,Cleaned_Data!$D$2:$D$501,$B$3,Cleaned_Data!$I$2:$I$501,$B$4,Cleaned_Data!$N$2:$N$501,$B$5,Cleaned_Data!$L$2:$L$501,$B$6)</f>
        <v>19885</v>
      </c>
      <c r="C96" s="16">
        <f>COUNTIFS(Cleaned_Data!$H$2:$H$501,$A96,Cleaned_Data!$D$2:$D$501,$B$3,Cleaned_Data!$I$2:$I$501,$B$4,Cleaned_Data!$N$2:$N$501,$B$5,Cleaned_Data!$L$2:$L$501,$B$6)</f>
        <v>10</v>
      </c>
      <c r="D96" s="16">
        <f>SUMIFS(Cleaned_Data!$F$2:$F$501,Cleaned_Data!$H$2:$H$501,$A96,Cleaned_Data!$D$2:$D$501,$B$3,Cleaned_Data!$I$2:$I$501,$B$4,Cleaned_Data!$N$2:$N$501,$B$5,Cleaned_Data!$L$2:$L$501,$B$6)</f>
        <v>15</v>
      </c>
      <c r="E96" s="17">
        <f t="shared" si="5"/>
        <v>1.2707775484250283E-2</v>
      </c>
      <c r="F96" s="15">
        <f>SUMIFS(Cleaned_Data!$G$2:$G$501,Cleaned_Data!$H$2:$H$501,$A96)</f>
        <v>19885</v>
      </c>
      <c r="G96" s="22">
        <f t="shared" si="6"/>
        <v>19885.000096</v>
      </c>
    </row>
    <row r="97" spans="1:7" x14ac:dyDescent="0.3">
      <c r="A97" s="14" t="s">
        <v>96</v>
      </c>
      <c r="B97" s="15">
        <f>SUMIFS(Cleaned_Data!$G$2:$G$501,Cleaned_Data!$H$2:$H$501,$A97,Cleaned_Data!$D$2:$D$501,$B$3,Cleaned_Data!$I$2:$I$501,$B$4,Cleaned_Data!$N$2:$N$501,$B$5,Cleaned_Data!$L$2:$L$501,$B$6)</f>
        <v>34985</v>
      </c>
      <c r="C97" s="16">
        <f>COUNTIFS(Cleaned_Data!$H$2:$H$501,$A97,Cleaned_Data!$D$2:$D$501,$B$3,Cleaned_Data!$I$2:$I$501,$B$4,Cleaned_Data!$N$2:$N$501,$B$5,Cleaned_Data!$L$2:$L$501,$B$6)</f>
        <v>11</v>
      </c>
      <c r="D97" s="16">
        <f>SUMIFS(Cleaned_Data!$F$2:$F$501,Cleaned_Data!$H$2:$H$501,$A97,Cleaned_Data!$D$2:$D$501,$B$3,Cleaned_Data!$I$2:$I$501,$B$4,Cleaned_Data!$N$2:$N$501,$B$5,Cleaned_Data!$L$2:$L$501,$B$6)</f>
        <v>15</v>
      </c>
      <c r="E97" s="17">
        <f t="shared" si="5"/>
        <v>2.2357632653582909E-2</v>
      </c>
      <c r="F97" s="15">
        <f>SUMIFS(Cleaned_Data!$G$2:$G$501,Cleaned_Data!$H$2:$H$501,$A97)</f>
        <v>34985</v>
      </c>
      <c r="G97" s="22">
        <f t="shared" si="6"/>
        <v>34985.000096999996</v>
      </c>
    </row>
    <row r="98" spans="1:7" x14ac:dyDescent="0.3">
      <c r="A98" s="14" t="s">
        <v>97</v>
      </c>
      <c r="B98" s="15">
        <f>SUMIFS(Cleaned_Data!$G$2:$G$501,Cleaned_Data!$H$2:$H$501,$A98,Cleaned_Data!$D$2:$D$501,$B$3,Cleaned_Data!$I$2:$I$501,$B$4,Cleaned_Data!$N$2:$N$501,$B$5,Cleaned_Data!$L$2:$L$501,$B$6)</f>
        <v>16486</v>
      </c>
      <c r="C98" s="16">
        <f>COUNTIFS(Cleaned_Data!$H$2:$H$501,$A98,Cleaned_Data!$D$2:$D$501,$B$3,Cleaned_Data!$I$2:$I$501,$B$4,Cleaned_Data!$N$2:$N$501,$B$5,Cleaned_Data!$L$2:$L$501,$B$6)</f>
        <v>8</v>
      </c>
      <c r="D98" s="16">
        <f>SUMIFS(Cleaned_Data!$F$2:$F$501,Cleaned_Data!$H$2:$H$501,$A98,Cleaned_Data!$D$2:$D$501,$B$3,Cleaned_Data!$I$2:$I$501,$B$4,Cleaned_Data!$N$2:$N$501,$B$5,Cleaned_Data!$L$2:$L$501,$B$6)</f>
        <v>14</v>
      </c>
      <c r="E98" s="17">
        <f t="shared" si="5"/>
        <v>1.0535599026067396E-2</v>
      </c>
      <c r="F98" s="15">
        <f>SUMIFS(Cleaned_Data!$G$2:$G$501,Cleaned_Data!$H$2:$H$501,$A98)</f>
        <v>16486</v>
      </c>
      <c r="G98" s="22">
        <f t="shared" si="6"/>
        <v>16486.000098</v>
      </c>
    </row>
    <row r="99" spans="1:7" x14ac:dyDescent="0.3">
      <c r="A99" s="14" t="s">
        <v>98</v>
      </c>
      <c r="B99" s="15">
        <f>SUMIFS(Cleaned_Data!$G$2:$G$501,Cleaned_Data!$H$2:$H$501,$A99,Cleaned_Data!$D$2:$D$501,$B$3,Cleaned_Data!$I$2:$I$501,$B$4,Cleaned_Data!$N$2:$N$501,$B$5,Cleaned_Data!$L$2:$L$501,$B$6)</f>
        <v>20684</v>
      </c>
      <c r="C99" s="16">
        <f>COUNTIFS(Cleaned_Data!$H$2:$H$501,$A99,Cleaned_Data!$D$2:$D$501,$B$3,Cleaned_Data!$I$2:$I$501,$B$4,Cleaned_Data!$N$2:$N$501,$B$5,Cleaned_Data!$L$2:$L$501,$B$6)</f>
        <v>13</v>
      </c>
      <c r="D99" s="16">
        <f>SUMIFS(Cleaned_Data!$F$2:$F$501,Cleaned_Data!$H$2:$H$501,$A99,Cleaned_Data!$D$2:$D$501,$B$3,Cleaned_Data!$I$2:$I$501,$B$4,Cleaned_Data!$N$2:$N$501,$B$5,Cleaned_Data!$L$2:$L$501,$B$6)</f>
        <v>16</v>
      </c>
      <c r="E99" s="17">
        <f t="shared" si="5"/>
        <v>1.3218387131819605E-2</v>
      </c>
      <c r="F99" s="15">
        <f>SUMIFS(Cleaned_Data!$G$2:$G$501,Cleaned_Data!$H$2:$H$501,$A99)</f>
        <v>20684</v>
      </c>
      <c r="G99" s="22">
        <f t="shared" si="6"/>
        <v>20684.000099000001</v>
      </c>
    </row>
    <row r="100" spans="1:7" x14ac:dyDescent="0.3">
      <c r="A100" s="14" t="s">
        <v>99</v>
      </c>
      <c r="B100" s="15">
        <f>SUMIFS(Cleaned_Data!$G$2:$G$501,Cleaned_Data!$H$2:$H$501,$A100,Cleaned_Data!$D$2:$D$501,$B$3,Cleaned_Data!$I$2:$I$501,$B$4,Cleaned_Data!$N$2:$N$501,$B$5,Cleaned_Data!$L$2:$L$501,$B$6)</f>
        <v>39683</v>
      </c>
      <c r="C100" s="16">
        <f>COUNTIFS(Cleaned_Data!$H$2:$H$501,$A100,Cleaned_Data!$D$2:$D$501,$B$3,Cleaned_Data!$I$2:$I$501,$B$4,Cleaned_Data!$N$2:$N$501,$B$5,Cleaned_Data!$L$2:$L$501,$B$6)</f>
        <v>10</v>
      </c>
      <c r="D100" s="16">
        <f>SUMIFS(Cleaned_Data!$F$2:$F$501,Cleaned_Data!$H$2:$H$501,$A100,Cleaned_Data!$D$2:$D$501,$B$3,Cleaned_Data!$I$2:$I$501,$B$4,Cleaned_Data!$N$2:$N$501,$B$5,Cleaned_Data!$L$2:$L$501,$B$6)</f>
        <v>17</v>
      </c>
      <c r="E100" s="17">
        <f t="shared" si="5"/>
        <v>2.535995245368388E-2</v>
      </c>
      <c r="F100" s="15">
        <f>SUMIFS(Cleaned_Data!$G$2:$G$501,Cleaned_Data!$H$2:$H$501,$A100)</f>
        <v>39683</v>
      </c>
      <c r="G100" s="22">
        <f t="shared" si="6"/>
        <v>39683.000099999997</v>
      </c>
    </row>
    <row r="101" spans="1:7" x14ac:dyDescent="0.3">
      <c r="A101" s="14" t="s">
        <v>100</v>
      </c>
      <c r="B101" s="15">
        <f>SUMIFS(Cleaned_Data!$G$2:$G$501,Cleaned_Data!$H$2:$H$501,$A101,Cleaned_Data!$D$2:$D$501,$B$3,Cleaned_Data!$I$2:$I$501,$B$4,Cleaned_Data!$N$2:$N$501,$B$5,Cleaned_Data!$L$2:$L$501,$B$6)</f>
        <v>29985</v>
      </c>
      <c r="C101" s="16">
        <f>COUNTIFS(Cleaned_Data!$H$2:$H$501,$A101,Cleaned_Data!$D$2:$D$501,$B$3,Cleaned_Data!$I$2:$I$501,$B$4,Cleaned_Data!$N$2:$N$501,$B$5,Cleaned_Data!$L$2:$L$501,$B$6)</f>
        <v>9</v>
      </c>
      <c r="D101" s="16">
        <f>SUMIFS(Cleaned_Data!$F$2:$F$501,Cleaned_Data!$H$2:$H$501,$A101,Cleaned_Data!$D$2:$D$501,$B$3,Cleaned_Data!$I$2:$I$501,$B$4,Cleaned_Data!$N$2:$N$501,$B$5,Cleaned_Data!$L$2:$L$501,$B$6)</f>
        <v>15</v>
      </c>
      <c r="E101" s="17">
        <f t="shared" si="5"/>
        <v>1.9162315710095284E-2</v>
      </c>
      <c r="F101" s="15">
        <f>SUMIFS(Cleaned_Data!$G$2:$G$501,Cleaned_Data!$H$2:$H$501,$A101)</f>
        <v>29985</v>
      </c>
      <c r="G101" s="22">
        <f t="shared" si="6"/>
        <v>29985.000101000001</v>
      </c>
    </row>
    <row r="102" spans="1:7" x14ac:dyDescent="0.3">
      <c r="A102" s="14" t="s">
        <v>101</v>
      </c>
      <c r="B102" s="15">
        <f>SUMIFS(Cleaned_Data!$G$2:$G$501,Cleaned_Data!$H$2:$H$501,$A102,Cleaned_Data!$D$2:$D$501,$B$3,Cleaned_Data!$I$2:$I$501,$B$4,Cleaned_Data!$N$2:$N$501,$B$5,Cleaned_Data!$L$2:$L$501,$B$6)</f>
        <v>25588</v>
      </c>
      <c r="C102" s="16">
        <f>COUNTIFS(Cleaned_Data!$H$2:$H$501,$A102,Cleaned_Data!$D$2:$D$501,$B$3,Cleaned_Data!$I$2:$I$501,$B$4,Cleaned_Data!$N$2:$N$501,$B$5,Cleaned_Data!$L$2:$L$501,$B$6)</f>
        <v>7</v>
      </c>
      <c r="D102" s="16">
        <f>SUMIFS(Cleaned_Data!$F$2:$F$501,Cleaned_Data!$H$2:$H$501,$A102,Cleaned_Data!$D$2:$D$501,$B$3,Cleaned_Data!$I$2:$I$501,$B$4,Cleaned_Data!$N$2:$N$501,$B$5,Cleaned_Data!$L$2:$L$501,$B$6)</f>
        <v>12</v>
      </c>
      <c r="E102" s="17">
        <f t="shared" si="5"/>
        <v>1.6352353989992269E-2</v>
      </c>
      <c r="F102" s="15">
        <f>SUMIFS(Cleaned_Data!$G$2:$G$501,Cleaned_Data!$H$2:$H$501,$A102)</f>
        <v>25588</v>
      </c>
      <c r="G102" s="22">
        <f t="shared" si="6"/>
        <v>25588.000102000002</v>
      </c>
    </row>
    <row r="103" spans="1:7" x14ac:dyDescent="0.3">
      <c r="A103" s="14" t="s">
        <v>102</v>
      </c>
      <c r="B103" s="15">
        <f>SUMIFS(Cleaned_Data!$G$2:$G$501,Cleaned_Data!$H$2:$H$501,$A103,Cleaned_Data!$D$2:$D$501,$B$3,Cleaned_Data!$I$2:$I$501,$B$4,Cleaned_Data!$N$2:$N$501,$B$5,Cleaned_Data!$L$2:$L$501,$B$6)</f>
        <v>37782</v>
      </c>
      <c r="C103" s="16">
        <f>COUNTIFS(Cleaned_Data!$H$2:$H$501,$A103,Cleaned_Data!$D$2:$D$501,$B$3,Cleaned_Data!$I$2:$I$501,$B$4,Cleaned_Data!$N$2:$N$501,$B$5,Cleaned_Data!$L$2:$L$501,$B$6)</f>
        <v>10</v>
      </c>
      <c r="D103" s="16">
        <f>SUMIFS(Cleaned_Data!$F$2:$F$501,Cleaned_Data!$H$2:$H$501,$A103,Cleaned_Data!$D$2:$D$501,$B$3,Cleaned_Data!$I$2:$I$501,$B$4,Cleaned_Data!$N$2:$N$501,$B$5,Cleaned_Data!$L$2:$L$501,$B$6)</f>
        <v>18</v>
      </c>
      <c r="E103" s="17">
        <f t="shared" si="5"/>
        <v>2.4145092951769885E-2</v>
      </c>
      <c r="F103" s="15">
        <f>SUMIFS(Cleaned_Data!$G$2:$G$501,Cleaned_Data!$H$2:$H$501,$A103)</f>
        <v>37782</v>
      </c>
      <c r="G103" s="22">
        <f t="shared" si="6"/>
        <v>37782.000102999998</v>
      </c>
    </row>
    <row r="104" spans="1:7" x14ac:dyDescent="0.3">
      <c r="A104" s="14" t="s">
        <v>103</v>
      </c>
      <c r="B104" s="15">
        <f>SUMIFS(Cleaned_Data!$G$2:$G$501,Cleaned_Data!$H$2:$H$501,$A104,Cleaned_Data!$D$2:$D$501,$B$3,Cleaned_Data!$I$2:$I$501,$B$4,Cleaned_Data!$N$2:$N$501,$B$5,Cleaned_Data!$L$2:$L$501,$B$6)</f>
        <v>23984</v>
      </c>
      <c r="C104" s="16">
        <f>COUNTIFS(Cleaned_Data!$H$2:$H$501,$A104,Cleaned_Data!$D$2:$D$501,$B$3,Cleaned_Data!$I$2:$I$501,$B$4,Cleaned_Data!$N$2:$N$501,$B$5,Cleaned_Data!$L$2:$L$501,$B$6)</f>
        <v>8</v>
      </c>
      <c r="D104" s="16">
        <f>SUMIFS(Cleaned_Data!$F$2:$F$501,Cleaned_Data!$H$2:$H$501,$A104,Cleaned_Data!$D$2:$D$501,$B$3,Cleaned_Data!$I$2:$I$501,$B$4,Cleaned_Data!$N$2:$N$501,$B$5,Cleaned_Data!$L$2:$L$501,$B$6)</f>
        <v>16</v>
      </c>
      <c r="E104" s="17">
        <f t="shared" si="5"/>
        <v>1.5327296314521437E-2</v>
      </c>
      <c r="F104" s="15">
        <f>SUMIFS(Cleaned_Data!$G$2:$G$501,Cleaned_Data!$H$2:$H$501,$A104)</f>
        <v>23984</v>
      </c>
      <c r="G104" s="22">
        <f t="shared" si="6"/>
        <v>23984.000103999999</v>
      </c>
    </row>
    <row r="105" spans="1:7" x14ac:dyDescent="0.3">
      <c r="A105" s="14" t="s">
        <v>104</v>
      </c>
      <c r="B105" s="15">
        <f>SUMIFS(Cleaned_Data!$G$2:$G$501,Cleaned_Data!$H$2:$H$501,$A105,Cleaned_Data!$D$2:$D$501,$B$3,Cleaned_Data!$I$2:$I$501,$B$4,Cleaned_Data!$N$2:$N$501,$B$5,Cleaned_Data!$L$2:$L$501,$B$6)</f>
        <v>14889</v>
      </c>
      <c r="C105" s="16">
        <f>COUNTIFS(Cleaned_Data!$H$2:$H$501,$A105,Cleaned_Data!$D$2:$D$501,$B$3,Cleaned_Data!$I$2:$I$501,$B$4,Cleaned_Data!$N$2:$N$501,$B$5,Cleaned_Data!$L$2:$L$501,$B$6)</f>
        <v>7</v>
      </c>
      <c r="D105" s="16">
        <f>SUMIFS(Cleaned_Data!$F$2:$F$501,Cleaned_Data!$H$2:$H$501,$A105,Cleaned_Data!$D$2:$D$501,$B$3,Cleaned_Data!$I$2:$I$501,$B$4,Cleaned_Data!$N$2:$N$501,$B$5,Cleaned_Data!$L$2:$L$501,$B$6)</f>
        <v>11</v>
      </c>
      <c r="E105" s="17">
        <f t="shared" ref="E105:E132" si="7">IF($B$133=0,0,B105/$B$133)</f>
        <v>9.5150147943174491E-3</v>
      </c>
      <c r="F105" s="15">
        <f>SUMIFS(Cleaned_Data!$G$2:$G$501,Cleaned_Data!$H$2:$H$501,$A105)</f>
        <v>14889</v>
      </c>
      <c r="G105" s="22">
        <f t="shared" ref="G105:G132" si="8">B105+ROW()/1000000</f>
        <v>14889.000104999999</v>
      </c>
    </row>
    <row r="106" spans="1:7" x14ac:dyDescent="0.3">
      <c r="A106" s="14" t="s">
        <v>105</v>
      </c>
      <c r="B106" s="15">
        <f>SUMIFS(Cleaned_Data!$G$2:$G$501,Cleaned_Data!$H$2:$H$501,$A106,Cleaned_Data!$D$2:$D$501,$B$3,Cleaned_Data!$I$2:$I$501,$B$4,Cleaned_Data!$N$2:$N$501,$B$5,Cleaned_Data!$L$2:$L$501,$B$6)</f>
        <v>34186</v>
      </c>
      <c r="C106" s="16">
        <f>COUNTIFS(Cleaned_Data!$H$2:$H$501,$A106,Cleaned_Data!$D$2:$D$501,$B$3,Cleaned_Data!$I$2:$I$501,$B$4,Cleaned_Data!$N$2:$N$501,$B$5,Cleaned_Data!$L$2:$L$501,$B$6)</f>
        <v>8</v>
      </c>
      <c r="D106" s="16">
        <f>SUMIFS(Cleaned_Data!$F$2:$F$501,Cleaned_Data!$H$2:$H$501,$A106,Cleaned_Data!$D$2:$D$501,$B$3,Cleaned_Data!$I$2:$I$501,$B$4,Cleaned_Data!$N$2:$N$501,$B$5,Cleaned_Data!$L$2:$L$501,$B$6)</f>
        <v>14</v>
      </c>
      <c r="E106" s="17">
        <f t="shared" si="7"/>
        <v>2.1847021006013587E-2</v>
      </c>
      <c r="F106" s="15">
        <f>SUMIFS(Cleaned_Data!$G$2:$G$501,Cleaned_Data!$H$2:$H$501,$A106)</f>
        <v>34186</v>
      </c>
      <c r="G106" s="22">
        <f t="shared" si="8"/>
        <v>34186.000106</v>
      </c>
    </row>
    <row r="107" spans="1:7" x14ac:dyDescent="0.3">
      <c r="A107" s="14" t="s">
        <v>106</v>
      </c>
      <c r="B107" s="15">
        <f>SUMIFS(Cleaned_Data!$G$2:$G$501,Cleaned_Data!$H$2:$H$501,$A107,Cleaned_Data!$D$2:$D$501,$B$3,Cleaned_Data!$I$2:$I$501,$B$4,Cleaned_Data!$N$2:$N$501,$B$5,Cleaned_Data!$L$2:$L$501,$B$6)</f>
        <v>34085</v>
      </c>
      <c r="C107" s="16">
        <f>COUNTIFS(Cleaned_Data!$H$2:$H$501,$A107,Cleaned_Data!$D$2:$D$501,$B$3,Cleaned_Data!$I$2:$I$501,$B$4,Cleaned_Data!$N$2:$N$501,$B$5,Cleaned_Data!$L$2:$L$501,$B$6)</f>
        <v>12</v>
      </c>
      <c r="D107" s="16">
        <f>SUMIFS(Cleaned_Data!$F$2:$F$501,Cleaned_Data!$H$2:$H$501,$A107,Cleaned_Data!$D$2:$D$501,$B$3,Cleaned_Data!$I$2:$I$501,$B$4,Cleaned_Data!$N$2:$N$501,$B$5,Cleaned_Data!$L$2:$L$501,$B$6)</f>
        <v>15</v>
      </c>
      <c r="E107" s="17">
        <f t="shared" si="7"/>
        <v>2.1782475603755135E-2</v>
      </c>
      <c r="F107" s="15">
        <f>SUMIFS(Cleaned_Data!$G$2:$G$501,Cleaned_Data!$H$2:$H$501,$A107)</f>
        <v>34085</v>
      </c>
      <c r="G107" s="22">
        <f t="shared" si="8"/>
        <v>34085.000107</v>
      </c>
    </row>
    <row r="108" spans="1:7" x14ac:dyDescent="0.3">
      <c r="A108" s="14" t="s">
        <v>107</v>
      </c>
      <c r="B108" s="15">
        <f>SUMIFS(Cleaned_Data!$G$2:$G$501,Cleaned_Data!$H$2:$H$501,$A108,Cleaned_Data!$D$2:$D$501,$B$3,Cleaned_Data!$I$2:$I$501,$B$4,Cleaned_Data!$N$2:$N$501,$B$5,Cleaned_Data!$L$2:$L$501,$B$6)</f>
        <v>34779</v>
      </c>
      <c r="C108" s="16">
        <f>COUNTIFS(Cleaned_Data!$H$2:$H$501,$A108,Cleaned_Data!$D$2:$D$501,$B$3,Cleaned_Data!$I$2:$I$501,$B$4,Cleaned_Data!$N$2:$N$501,$B$5,Cleaned_Data!$L$2:$L$501,$B$6)</f>
        <v>12</v>
      </c>
      <c r="D108" s="16">
        <f>SUMIFS(Cleaned_Data!$F$2:$F$501,Cleaned_Data!$H$2:$H$501,$A108,Cleaned_Data!$D$2:$D$501,$B$3,Cleaned_Data!$I$2:$I$501,$B$4,Cleaned_Data!$N$2:$N$501,$B$5,Cleaned_Data!$L$2:$L$501,$B$6)</f>
        <v>21</v>
      </c>
      <c r="E108" s="17">
        <f t="shared" si="7"/>
        <v>2.222598559551122E-2</v>
      </c>
      <c r="F108" s="15">
        <f>SUMIFS(Cleaned_Data!$G$2:$G$501,Cleaned_Data!$H$2:$H$501,$A108)</f>
        <v>34779</v>
      </c>
      <c r="G108" s="22">
        <f t="shared" si="8"/>
        <v>34779.000108</v>
      </c>
    </row>
    <row r="109" spans="1:7" x14ac:dyDescent="0.3">
      <c r="A109" s="14" t="s">
        <v>108</v>
      </c>
      <c r="B109" s="15">
        <f>SUMIFS(Cleaned_Data!$G$2:$G$501,Cleaned_Data!$H$2:$H$501,$A109,Cleaned_Data!$D$2:$D$501,$B$3,Cleaned_Data!$I$2:$I$501,$B$4,Cleaned_Data!$N$2:$N$501,$B$5,Cleaned_Data!$L$2:$L$501,$B$6)</f>
        <v>29688</v>
      </c>
      <c r="C109" s="16">
        <f>COUNTIFS(Cleaned_Data!$H$2:$H$501,$A109,Cleaned_Data!$D$2:$D$501,$B$3,Cleaned_Data!$I$2:$I$501,$B$4,Cleaned_Data!$N$2:$N$501,$B$5,Cleaned_Data!$L$2:$L$501,$B$6)</f>
        <v>8</v>
      </c>
      <c r="D109" s="16">
        <f>SUMIFS(Cleaned_Data!$F$2:$F$501,Cleaned_Data!$H$2:$H$501,$A109,Cleaned_Data!$D$2:$D$501,$B$3,Cleaned_Data!$I$2:$I$501,$B$4,Cleaned_Data!$N$2:$N$501,$B$5,Cleaned_Data!$L$2:$L$501,$B$6)</f>
        <v>12</v>
      </c>
      <c r="E109" s="17">
        <f t="shared" si="7"/>
        <v>1.897251388365212E-2</v>
      </c>
      <c r="F109" s="15">
        <f>SUMIFS(Cleaned_Data!$G$2:$G$501,Cleaned_Data!$H$2:$H$501,$A109)</f>
        <v>29688</v>
      </c>
      <c r="G109" s="22">
        <f t="shared" si="8"/>
        <v>29688.000109000001</v>
      </c>
    </row>
    <row r="110" spans="1:7" x14ac:dyDescent="0.3">
      <c r="A110" s="14" t="s">
        <v>109</v>
      </c>
      <c r="B110" s="15">
        <f>SUMIFS(Cleaned_Data!$G$2:$G$501,Cleaned_Data!$H$2:$H$501,$A110,Cleaned_Data!$D$2:$D$501,$B$3,Cleaned_Data!$I$2:$I$501,$B$4,Cleaned_Data!$N$2:$N$501,$B$5,Cleaned_Data!$L$2:$L$501,$B$6)</f>
        <v>5696</v>
      </c>
      <c r="C110" s="16">
        <f>COUNTIFS(Cleaned_Data!$H$2:$H$501,$A110,Cleaned_Data!$D$2:$D$501,$B$3,Cleaned_Data!$I$2:$I$501,$B$4,Cleaned_Data!$N$2:$N$501,$B$5,Cleaned_Data!$L$2:$L$501,$B$6)</f>
        <v>4</v>
      </c>
      <c r="D110" s="16">
        <f>SUMIFS(Cleaned_Data!$F$2:$F$501,Cleaned_Data!$H$2:$H$501,$A110,Cleaned_Data!$D$2:$D$501,$B$3,Cleaned_Data!$I$2:$I$501,$B$4,Cleaned_Data!$N$2:$N$501,$B$5,Cleaned_Data!$L$2:$L$501,$B$6)</f>
        <v>4</v>
      </c>
      <c r="E110" s="17">
        <f t="shared" si="7"/>
        <v>3.640105062021102E-3</v>
      </c>
      <c r="F110" s="15">
        <f>SUMIFS(Cleaned_Data!$G$2:$G$501,Cleaned_Data!$H$2:$H$501,$A110)</f>
        <v>5696</v>
      </c>
      <c r="G110" s="22">
        <f t="shared" si="8"/>
        <v>5696.0001099999999</v>
      </c>
    </row>
    <row r="111" spans="1:7" x14ac:dyDescent="0.3">
      <c r="A111" s="14" t="s">
        <v>110</v>
      </c>
      <c r="B111" s="15">
        <f>SUMIFS(Cleaned_Data!$G$2:$G$501,Cleaned_Data!$H$2:$H$501,$A111,Cleaned_Data!$D$2:$D$501,$B$3,Cleaned_Data!$I$2:$I$501,$B$4,Cleaned_Data!$N$2:$N$501,$B$5,Cleaned_Data!$L$2:$L$501,$B$6)</f>
        <v>6393</v>
      </c>
      <c r="C111" s="16">
        <f>COUNTIFS(Cleaned_Data!$H$2:$H$501,$A111,Cleaned_Data!$D$2:$D$501,$B$3,Cleaned_Data!$I$2:$I$501,$B$4,Cleaned_Data!$N$2:$N$501,$B$5,Cleaned_Data!$L$2:$L$501,$B$6)</f>
        <v>6</v>
      </c>
      <c r="D111" s="16">
        <f>SUMIFS(Cleaned_Data!$F$2:$F$501,Cleaned_Data!$H$2:$H$501,$A111,Cleaned_Data!$D$2:$D$501,$B$3,Cleaned_Data!$I$2:$I$501,$B$4,Cleaned_Data!$N$2:$N$501,$B$5,Cleaned_Data!$L$2:$L$501,$B$6)</f>
        <v>7</v>
      </c>
      <c r="E111" s="17">
        <f t="shared" si="7"/>
        <v>4.0855322439432764E-3</v>
      </c>
      <c r="F111" s="15">
        <f>SUMIFS(Cleaned_Data!$G$2:$G$501,Cleaned_Data!$H$2:$H$501,$A111)</f>
        <v>6393</v>
      </c>
      <c r="G111" s="22">
        <f t="shared" si="8"/>
        <v>6393.0001110000003</v>
      </c>
    </row>
    <row r="112" spans="1:7" x14ac:dyDescent="0.3">
      <c r="A112" s="14" t="s">
        <v>111</v>
      </c>
      <c r="B112" s="15">
        <f>SUMIFS(Cleaned_Data!$G$2:$G$501,Cleaned_Data!$H$2:$H$501,$A112,Cleaned_Data!$D$2:$D$501,$B$3,Cleaned_Data!$I$2:$I$501,$B$4,Cleaned_Data!$N$2:$N$501,$B$5,Cleaned_Data!$L$2:$L$501,$B$6)</f>
        <v>14789</v>
      </c>
      <c r="C112" s="16">
        <f>COUNTIFS(Cleaned_Data!$H$2:$H$501,$A112,Cleaned_Data!$D$2:$D$501,$B$3,Cleaned_Data!$I$2:$I$501,$B$4,Cleaned_Data!$N$2:$N$501,$B$5,Cleaned_Data!$L$2:$L$501,$B$6)</f>
        <v>6</v>
      </c>
      <c r="D112" s="16">
        <f>SUMIFS(Cleaned_Data!$F$2:$F$501,Cleaned_Data!$H$2:$H$501,$A112,Cleaned_Data!$D$2:$D$501,$B$3,Cleaned_Data!$I$2:$I$501,$B$4,Cleaned_Data!$N$2:$N$501,$B$5,Cleaned_Data!$L$2:$L$501,$B$6)</f>
        <v>11</v>
      </c>
      <c r="E112" s="17">
        <f t="shared" si="7"/>
        <v>9.4511084554476966E-3</v>
      </c>
      <c r="F112" s="15">
        <f>SUMIFS(Cleaned_Data!$G$2:$G$501,Cleaned_Data!$H$2:$H$501,$A112)</f>
        <v>14789</v>
      </c>
      <c r="G112" s="22">
        <f t="shared" si="8"/>
        <v>14789.000112</v>
      </c>
    </row>
    <row r="113" spans="1:7" x14ac:dyDescent="0.3">
      <c r="A113" s="14" t="s">
        <v>112</v>
      </c>
      <c r="B113" s="15">
        <f>SUMIFS(Cleaned_Data!$G$2:$G$501,Cleaned_Data!$H$2:$H$501,$A113,Cleaned_Data!$D$2:$D$501,$B$3,Cleaned_Data!$I$2:$I$501,$B$4,Cleaned_Data!$N$2:$N$501,$B$5,Cleaned_Data!$L$2:$L$501,$B$6)</f>
        <v>21591</v>
      </c>
      <c r="C113" s="16">
        <f>COUNTIFS(Cleaned_Data!$H$2:$H$501,$A113,Cleaned_Data!$D$2:$D$501,$B$3,Cleaned_Data!$I$2:$I$501,$B$4,Cleaned_Data!$N$2:$N$501,$B$5,Cleaned_Data!$L$2:$L$501,$B$6)</f>
        <v>7</v>
      </c>
      <c r="D113" s="16">
        <f>SUMIFS(Cleaned_Data!$F$2:$F$501,Cleaned_Data!$H$2:$H$501,$A113,Cleaned_Data!$D$2:$D$501,$B$3,Cleaned_Data!$I$2:$I$501,$B$4,Cleaned_Data!$N$2:$N$501,$B$5,Cleaned_Data!$L$2:$L$501,$B$6)</f>
        <v>9</v>
      </c>
      <c r="E113" s="17">
        <f t="shared" si="7"/>
        <v>1.379801762536826E-2</v>
      </c>
      <c r="F113" s="15">
        <f>SUMIFS(Cleaned_Data!$G$2:$G$501,Cleaned_Data!$H$2:$H$501,$A113)</f>
        <v>21591</v>
      </c>
      <c r="G113" s="22">
        <f t="shared" si="8"/>
        <v>21591.000112999998</v>
      </c>
    </row>
    <row r="114" spans="1:7" x14ac:dyDescent="0.3">
      <c r="A114" s="14" t="s">
        <v>113</v>
      </c>
      <c r="B114" s="15">
        <f>SUMIFS(Cleaned_Data!$G$2:$G$501,Cleaned_Data!$H$2:$H$501,$A114,Cleaned_Data!$D$2:$D$501,$B$3,Cleaned_Data!$I$2:$I$501,$B$4,Cleaned_Data!$N$2:$N$501,$B$5,Cleaned_Data!$L$2:$L$501,$B$6)</f>
        <v>44481</v>
      </c>
      <c r="C114" s="16">
        <f>COUNTIFS(Cleaned_Data!$H$2:$H$501,$A114,Cleaned_Data!$D$2:$D$501,$B$3,Cleaned_Data!$I$2:$I$501,$B$4,Cleaned_Data!$N$2:$N$501,$B$5,Cleaned_Data!$L$2:$L$501,$B$6)</f>
        <v>9</v>
      </c>
      <c r="D114" s="16">
        <f>SUMIFS(Cleaned_Data!$F$2:$F$501,Cleaned_Data!$H$2:$H$501,$A114,Cleaned_Data!$D$2:$D$501,$B$3,Cleaned_Data!$I$2:$I$501,$B$4,Cleaned_Data!$N$2:$N$501,$B$5,Cleaned_Data!$L$2:$L$501,$B$6)</f>
        <v>19</v>
      </c>
      <c r="E114" s="17">
        <f t="shared" si="7"/>
        <v>2.8426178592654606E-2</v>
      </c>
      <c r="F114" s="15">
        <f>SUMIFS(Cleaned_Data!$G$2:$G$501,Cleaned_Data!$H$2:$H$501,$A114)</f>
        <v>44481</v>
      </c>
      <c r="G114" s="22">
        <f t="shared" si="8"/>
        <v>44481.000114000002</v>
      </c>
    </row>
    <row r="115" spans="1:7" x14ac:dyDescent="0.3">
      <c r="A115" s="14" t="s">
        <v>114</v>
      </c>
      <c r="B115" s="15">
        <f>SUMIFS(Cleaned_Data!$G$2:$G$501,Cleaned_Data!$H$2:$H$501,$A115,Cleaned_Data!$D$2:$D$501,$B$3,Cleaned_Data!$I$2:$I$501,$B$4,Cleaned_Data!$N$2:$N$501,$B$5,Cleaned_Data!$L$2:$L$501,$B$6)</f>
        <v>9593</v>
      </c>
      <c r="C115" s="16">
        <f>COUNTIFS(Cleaned_Data!$H$2:$H$501,$A115,Cleaned_Data!$D$2:$D$501,$B$3,Cleaned_Data!$I$2:$I$501,$B$4,Cleaned_Data!$N$2:$N$501,$B$5,Cleaned_Data!$L$2:$L$501,$B$6)</f>
        <v>5</v>
      </c>
      <c r="D115" s="16">
        <f>SUMIFS(Cleaned_Data!$F$2:$F$501,Cleaned_Data!$H$2:$H$501,$A115,Cleaned_Data!$D$2:$D$501,$B$3,Cleaned_Data!$I$2:$I$501,$B$4,Cleaned_Data!$N$2:$N$501,$B$5,Cleaned_Data!$L$2:$L$501,$B$6)</f>
        <v>7</v>
      </c>
      <c r="E115" s="17">
        <f t="shared" si="7"/>
        <v>6.1305350877753568E-3</v>
      </c>
      <c r="F115" s="15">
        <f>SUMIFS(Cleaned_Data!$G$2:$G$501,Cleaned_Data!$H$2:$H$501,$A115)</f>
        <v>9593</v>
      </c>
      <c r="G115" s="22">
        <f t="shared" si="8"/>
        <v>9593.0001150000007</v>
      </c>
    </row>
    <row r="116" spans="1:7" x14ac:dyDescent="0.3">
      <c r="A116" s="14" t="s">
        <v>115</v>
      </c>
      <c r="B116" s="15">
        <f>SUMIFS(Cleaned_Data!$G$2:$G$501,Cleaned_Data!$H$2:$H$501,$A116,Cleaned_Data!$D$2:$D$501,$B$3,Cleaned_Data!$I$2:$I$501,$B$4,Cleaned_Data!$N$2:$N$501,$B$5,Cleaned_Data!$L$2:$L$501,$B$6)</f>
        <v>39477</v>
      </c>
      <c r="C116" s="16">
        <f>COUNTIFS(Cleaned_Data!$H$2:$H$501,$A116,Cleaned_Data!$D$2:$D$501,$B$3,Cleaned_Data!$I$2:$I$501,$B$4,Cleaned_Data!$N$2:$N$501,$B$5,Cleaned_Data!$L$2:$L$501,$B$6)</f>
        <v>12</v>
      </c>
      <c r="D116" s="16">
        <f>SUMIFS(Cleaned_Data!$F$2:$F$501,Cleaned_Data!$H$2:$H$501,$A116,Cleaned_Data!$D$2:$D$501,$B$3,Cleaned_Data!$I$2:$I$501,$B$4,Cleaned_Data!$N$2:$N$501,$B$5,Cleaned_Data!$L$2:$L$501,$B$6)</f>
        <v>23</v>
      </c>
      <c r="E116" s="17">
        <f t="shared" si="7"/>
        <v>2.5228305395612192E-2</v>
      </c>
      <c r="F116" s="15">
        <f>SUMIFS(Cleaned_Data!$G$2:$G$501,Cleaned_Data!$H$2:$H$501,$A116)</f>
        <v>39477</v>
      </c>
      <c r="G116" s="22">
        <f t="shared" si="8"/>
        <v>39477.000116000003</v>
      </c>
    </row>
    <row r="117" spans="1:7" x14ac:dyDescent="0.3">
      <c r="A117" s="14" t="s">
        <v>116</v>
      </c>
      <c r="B117" s="15">
        <f>SUMIFS(Cleaned_Data!$G$2:$G$501,Cleaned_Data!$H$2:$H$501,$A117,Cleaned_Data!$D$2:$D$501,$B$3,Cleaned_Data!$I$2:$I$501,$B$4,Cleaned_Data!$N$2:$N$501,$B$5,Cleaned_Data!$L$2:$L$501,$B$6)</f>
        <v>20186</v>
      </c>
      <c r="C117" s="16">
        <f>COUNTIFS(Cleaned_Data!$H$2:$H$501,$A117,Cleaned_Data!$D$2:$D$501,$B$3,Cleaned_Data!$I$2:$I$501,$B$4,Cleaned_Data!$N$2:$N$501,$B$5,Cleaned_Data!$L$2:$L$501,$B$6)</f>
        <v>11</v>
      </c>
      <c r="D117" s="16">
        <f>SUMIFS(Cleaned_Data!$F$2:$F$501,Cleaned_Data!$H$2:$H$501,$A117,Cleaned_Data!$D$2:$D$501,$B$3,Cleaned_Data!$I$2:$I$501,$B$4,Cleaned_Data!$N$2:$N$501,$B$5,Cleaned_Data!$L$2:$L$501,$B$6)</f>
        <v>14</v>
      </c>
      <c r="E117" s="17">
        <f t="shared" si="7"/>
        <v>1.2900133564248238E-2</v>
      </c>
      <c r="F117" s="15">
        <f>SUMIFS(Cleaned_Data!$G$2:$G$501,Cleaned_Data!$H$2:$H$501,$A117)</f>
        <v>20186</v>
      </c>
      <c r="G117" s="22">
        <f t="shared" si="8"/>
        <v>20186.000117</v>
      </c>
    </row>
    <row r="118" spans="1:7" x14ac:dyDescent="0.3">
      <c r="A118" s="14" t="s">
        <v>117</v>
      </c>
      <c r="B118" s="15">
        <f>SUMIFS(Cleaned_Data!$G$2:$G$501,Cleaned_Data!$H$2:$H$501,$A118,Cleaned_Data!$D$2:$D$501,$B$3,Cleaned_Data!$I$2:$I$501,$B$4,Cleaned_Data!$N$2:$N$501,$B$5,Cleaned_Data!$L$2:$L$501,$B$6)</f>
        <v>18790</v>
      </c>
      <c r="C118" s="16">
        <f>COUNTIFS(Cleaned_Data!$H$2:$H$501,$A118,Cleaned_Data!$D$2:$D$501,$B$3,Cleaned_Data!$I$2:$I$501,$B$4,Cleaned_Data!$N$2:$N$501,$B$5,Cleaned_Data!$L$2:$L$501,$B$6)</f>
        <v>8</v>
      </c>
      <c r="D118" s="16">
        <f>SUMIFS(Cleaned_Data!$F$2:$F$501,Cleaned_Data!$H$2:$H$501,$A118,Cleaned_Data!$D$2:$D$501,$B$3,Cleaned_Data!$I$2:$I$501,$B$4,Cleaned_Data!$N$2:$N$501,$B$5,Cleaned_Data!$L$2:$L$501,$B$6)</f>
        <v>10</v>
      </c>
      <c r="E118" s="17">
        <f t="shared" si="7"/>
        <v>1.2008001073626493E-2</v>
      </c>
      <c r="F118" s="15">
        <f>SUMIFS(Cleaned_Data!$G$2:$G$501,Cleaned_Data!$H$2:$H$501,$A118)</f>
        <v>18790</v>
      </c>
      <c r="G118" s="22">
        <f t="shared" si="8"/>
        <v>18790.000118</v>
      </c>
    </row>
    <row r="119" spans="1:7" x14ac:dyDescent="0.3">
      <c r="A119" s="14" t="s">
        <v>118</v>
      </c>
      <c r="B119" s="15">
        <f>SUMIFS(Cleaned_Data!$G$2:$G$501,Cleaned_Data!$H$2:$H$501,$A119,Cleaned_Data!$D$2:$D$501,$B$3,Cleaned_Data!$I$2:$I$501,$B$4,Cleaned_Data!$N$2:$N$501,$B$5,Cleaned_Data!$L$2:$L$501,$B$6)</f>
        <v>17289</v>
      </c>
      <c r="C119" s="16">
        <f>COUNTIFS(Cleaned_Data!$H$2:$H$501,$A119,Cleaned_Data!$D$2:$D$501,$B$3,Cleaned_Data!$I$2:$I$501,$B$4,Cleaned_Data!$N$2:$N$501,$B$5,Cleaned_Data!$L$2:$L$501,$B$6)</f>
        <v>8</v>
      </c>
      <c r="D119" s="16">
        <f>SUMIFS(Cleaned_Data!$F$2:$F$501,Cleaned_Data!$H$2:$H$501,$A119,Cleaned_Data!$D$2:$D$501,$B$3,Cleaned_Data!$I$2:$I$501,$B$4,Cleaned_Data!$N$2:$N$501,$B$5,Cleaned_Data!$L$2:$L$501,$B$6)</f>
        <v>11</v>
      </c>
      <c r="E119" s="17">
        <f t="shared" si="7"/>
        <v>1.1048766927191507E-2</v>
      </c>
      <c r="F119" s="15">
        <f>SUMIFS(Cleaned_Data!$G$2:$G$501,Cleaned_Data!$H$2:$H$501,$A119)</f>
        <v>17289</v>
      </c>
      <c r="G119" s="22">
        <f t="shared" si="8"/>
        <v>17289.000119</v>
      </c>
    </row>
    <row r="120" spans="1:7" x14ac:dyDescent="0.3">
      <c r="A120" s="14" t="s">
        <v>119</v>
      </c>
      <c r="B120" s="15">
        <f>SUMIFS(Cleaned_Data!$G$2:$G$501,Cleaned_Data!$H$2:$H$501,$A120,Cleaned_Data!$D$2:$D$501,$B$3,Cleaned_Data!$I$2:$I$501,$B$4,Cleaned_Data!$N$2:$N$501,$B$5,Cleaned_Data!$L$2:$L$501,$B$6)</f>
        <v>27386</v>
      </c>
      <c r="C120" s="16">
        <f>COUNTIFS(Cleaned_Data!$H$2:$H$501,$A120,Cleaned_Data!$D$2:$D$501,$B$3,Cleaned_Data!$I$2:$I$501,$B$4,Cleaned_Data!$N$2:$N$501,$B$5,Cleaned_Data!$L$2:$L$501,$B$6)</f>
        <v>8</v>
      </c>
      <c r="D120" s="16">
        <f>SUMIFS(Cleaned_Data!$F$2:$F$501,Cleaned_Data!$H$2:$H$501,$A120,Cleaned_Data!$D$2:$D$501,$B$3,Cleaned_Data!$I$2:$I$501,$B$4,Cleaned_Data!$N$2:$N$501,$B$5,Cleaned_Data!$L$2:$L$501,$B$6)</f>
        <v>14</v>
      </c>
      <c r="E120" s="17">
        <f t="shared" si="7"/>
        <v>1.7501389962870418E-2</v>
      </c>
      <c r="F120" s="15">
        <f>SUMIFS(Cleaned_Data!$G$2:$G$501,Cleaned_Data!$H$2:$H$501,$A120)</f>
        <v>27386</v>
      </c>
      <c r="G120" s="22">
        <f t="shared" si="8"/>
        <v>27386.000120000001</v>
      </c>
    </row>
    <row r="121" spans="1:7" x14ac:dyDescent="0.3">
      <c r="A121" s="14" t="s">
        <v>120</v>
      </c>
      <c r="B121" s="15">
        <f>SUMIFS(Cleaned_Data!$G$2:$G$501,Cleaned_Data!$H$2:$H$501,$A121,Cleaned_Data!$D$2:$D$501,$B$3,Cleaned_Data!$I$2:$I$501,$B$4,Cleaned_Data!$N$2:$N$501,$B$5,Cleaned_Data!$L$2:$L$501,$B$6)</f>
        <v>31281</v>
      </c>
      <c r="C121" s="16">
        <f>COUNTIFS(Cleaned_Data!$H$2:$H$501,$A121,Cleaned_Data!$D$2:$D$501,$B$3,Cleaned_Data!$I$2:$I$501,$B$4,Cleaned_Data!$N$2:$N$501,$B$5,Cleaned_Data!$L$2:$L$501,$B$6)</f>
        <v>10</v>
      </c>
      <c r="D121" s="16">
        <f>SUMIFS(Cleaned_Data!$F$2:$F$501,Cleaned_Data!$H$2:$H$501,$A121,Cleaned_Data!$D$2:$D$501,$B$3,Cleaned_Data!$I$2:$I$501,$B$4,Cleaned_Data!$N$2:$N$501,$B$5,Cleaned_Data!$L$2:$L$501,$B$6)</f>
        <v>19</v>
      </c>
      <c r="E121" s="17">
        <f t="shared" si="7"/>
        <v>1.9990541861847278E-2</v>
      </c>
      <c r="F121" s="15">
        <f>SUMIFS(Cleaned_Data!$G$2:$G$501,Cleaned_Data!$H$2:$H$501,$A121)</f>
        <v>31281</v>
      </c>
      <c r="G121" s="22">
        <f t="shared" si="8"/>
        <v>31281.000121000001</v>
      </c>
    </row>
    <row r="122" spans="1:7" x14ac:dyDescent="0.3">
      <c r="A122" s="14" t="s">
        <v>121</v>
      </c>
      <c r="B122" s="15">
        <f>SUMIFS(Cleaned_Data!$G$2:$G$501,Cleaned_Data!$H$2:$H$501,$A122,Cleaned_Data!$D$2:$D$501,$B$3,Cleaned_Data!$I$2:$I$501,$B$4,Cleaned_Data!$N$2:$N$501,$B$5,Cleaned_Data!$L$2:$L$501,$B$6)</f>
        <v>39288</v>
      </c>
      <c r="C122" s="16">
        <f>COUNTIFS(Cleaned_Data!$H$2:$H$501,$A122,Cleaned_Data!$D$2:$D$501,$B$3,Cleaned_Data!$I$2:$I$501,$B$4,Cleaned_Data!$N$2:$N$501,$B$5,Cleaned_Data!$L$2:$L$501,$B$6)</f>
        <v>8</v>
      </c>
      <c r="D122" s="16">
        <f>SUMIFS(Cleaned_Data!$F$2:$F$501,Cleaned_Data!$H$2:$H$501,$A122,Cleaned_Data!$D$2:$D$501,$B$3,Cleaned_Data!$I$2:$I$501,$B$4,Cleaned_Data!$N$2:$N$501,$B$5,Cleaned_Data!$L$2:$L$501,$B$6)</f>
        <v>12</v>
      </c>
      <c r="E122" s="17">
        <f t="shared" si="7"/>
        <v>2.5107522415148357E-2</v>
      </c>
      <c r="F122" s="15">
        <f>SUMIFS(Cleaned_Data!$G$2:$G$501,Cleaned_Data!$H$2:$H$501,$A122)</f>
        <v>39288</v>
      </c>
      <c r="G122" s="22">
        <f t="shared" si="8"/>
        <v>39288.000121999998</v>
      </c>
    </row>
    <row r="123" spans="1:7" x14ac:dyDescent="0.3">
      <c r="A123" s="14" t="s">
        <v>122</v>
      </c>
      <c r="B123" s="15">
        <f>SUMIFS(Cleaned_Data!$G$2:$G$501,Cleaned_Data!$H$2:$H$501,$A123,Cleaned_Data!$D$2:$D$501,$B$3,Cleaned_Data!$I$2:$I$501,$B$4,Cleaned_Data!$N$2:$N$501,$B$5,Cleaned_Data!$L$2:$L$501,$B$6)</f>
        <v>12590</v>
      </c>
      <c r="C123" s="16">
        <f>COUNTIFS(Cleaned_Data!$H$2:$H$501,$A123,Cleaned_Data!$D$2:$D$501,$B$3,Cleaned_Data!$I$2:$I$501,$B$4,Cleaned_Data!$N$2:$N$501,$B$5,Cleaned_Data!$L$2:$L$501,$B$6)</f>
        <v>7</v>
      </c>
      <c r="D123" s="16">
        <f>SUMIFS(Cleaned_Data!$F$2:$F$501,Cleaned_Data!$H$2:$H$501,$A123,Cleaned_Data!$D$2:$D$501,$B$3,Cleaned_Data!$I$2:$I$501,$B$4,Cleaned_Data!$N$2:$N$501,$B$5,Cleaned_Data!$L$2:$L$501,$B$6)</f>
        <v>10</v>
      </c>
      <c r="E123" s="17">
        <f t="shared" si="7"/>
        <v>8.0458080637018387E-3</v>
      </c>
      <c r="F123" s="15">
        <f>SUMIFS(Cleaned_Data!$G$2:$G$501,Cleaned_Data!$H$2:$H$501,$A123)</f>
        <v>12590</v>
      </c>
      <c r="G123" s="22">
        <f t="shared" si="8"/>
        <v>12590.000123</v>
      </c>
    </row>
    <row r="124" spans="1:7" x14ac:dyDescent="0.3">
      <c r="A124" s="14" t="s">
        <v>123</v>
      </c>
      <c r="B124" s="15">
        <f>SUMIFS(Cleaned_Data!$G$2:$G$501,Cleaned_Data!$H$2:$H$501,$A124,Cleaned_Data!$D$2:$D$501,$B$3,Cleaned_Data!$I$2:$I$501,$B$4,Cleaned_Data!$N$2:$N$501,$B$5,Cleaned_Data!$L$2:$L$501,$B$6)</f>
        <v>24985</v>
      </c>
      <c r="C124" s="16">
        <f>COUNTIFS(Cleaned_Data!$H$2:$H$501,$A124,Cleaned_Data!$D$2:$D$501,$B$3,Cleaned_Data!$I$2:$I$501,$B$4,Cleaned_Data!$N$2:$N$501,$B$5,Cleaned_Data!$L$2:$L$501,$B$6)</f>
        <v>12</v>
      </c>
      <c r="D124" s="16">
        <f>SUMIFS(Cleaned_Data!$F$2:$F$501,Cleaned_Data!$H$2:$H$501,$A124,Cleaned_Data!$D$2:$D$501,$B$3,Cleaned_Data!$I$2:$I$501,$B$4,Cleaned_Data!$N$2:$N$501,$B$5,Cleaned_Data!$L$2:$L$501,$B$6)</f>
        <v>15</v>
      </c>
      <c r="E124" s="17">
        <f t="shared" si="7"/>
        <v>1.5966998766607659E-2</v>
      </c>
      <c r="F124" s="15">
        <f>SUMIFS(Cleaned_Data!$G$2:$G$501,Cleaned_Data!$H$2:$H$501,$A124)</f>
        <v>24985</v>
      </c>
      <c r="G124" s="22">
        <f t="shared" si="8"/>
        <v>24985.000123999998</v>
      </c>
    </row>
    <row r="125" spans="1:7" x14ac:dyDescent="0.3">
      <c r="A125" s="14" t="s">
        <v>124</v>
      </c>
      <c r="B125" s="15">
        <f>SUMIFS(Cleaned_Data!$G$2:$G$501,Cleaned_Data!$H$2:$H$501,$A125,Cleaned_Data!$D$2:$D$501,$B$3,Cleaned_Data!$I$2:$I$501,$B$4,Cleaned_Data!$N$2:$N$501,$B$5,Cleaned_Data!$L$2:$L$501,$B$6)</f>
        <v>29786</v>
      </c>
      <c r="C125" s="16">
        <f>COUNTIFS(Cleaned_Data!$H$2:$H$501,$A125,Cleaned_Data!$D$2:$D$501,$B$3,Cleaned_Data!$I$2:$I$501,$B$4,Cleaned_Data!$N$2:$N$501,$B$5,Cleaned_Data!$L$2:$L$501,$B$6)</f>
        <v>8</v>
      </c>
      <c r="D125" s="16">
        <f>SUMIFS(Cleaned_Data!$F$2:$F$501,Cleaned_Data!$H$2:$H$501,$A125,Cleaned_Data!$D$2:$D$501,$B$3,Cleaned_Data!$I$2:$I$501,$B$4,Cleaned_Data!$N$2:$N$501,$B$5,Cleaned_Data!$L$2:$L$501,$B$6)</f>
        <v>14</v>
      </c>
      <c r="E125" s="17">
        <f t="shared" si="7"/>
        <v>1.9035142095744476E-2</v>
      </c>
      <c r="F125" s="15">
        <f>SUMIFS(Cleaned_Data!$G$2:$G$501,Cleaned_Data!$H$2:$H$501,$A125)</f>
        <v>29786</v>
      </c>
      <c r="G125" s="22">
        <f t="shared" si="8"/>
        <v>29786.000124999999</v>
      </c>
    </row>
    <row r="126" spans="1:7" x14ac:dyDescent="0.3">
      <c r="A126" s="14" t="s">
        <v>125</v>
      </c>
      <c r="B126" s="15">
        <f>SUMIFS(Cleaned_Data!$G$2:$G$501,Cleaned_Data!$H$2:$H$501,$A126,Cleaned_Data!$D$2:$D$501,$B$3,Cleaned_Data!$I$2:$I$501,$B$4,Cleaned_Data!$N$2:$N$501,$B$5,Cleaned_Data!$L$2:$L$501,$B$6)</f>
        <v>16487</v>
      </c>
      <c r="C126" s="16">
        <f>COUNTIFS(Cleaned_Data!$H$2:$H$501,$A126,Cleaned_Data!$D$2:$D$501,$B$3,Cleaned_Data!$I$2:$I$501,$B$4,Cleaned_Data!$N$2:$N$501,$B$5,Cleaned_Data!$L$2:$L$501,$B$6)</f>
        <v>10</v>
      </c>
      <c r="D126" s="16">
        <f>SUMIFS(Cleaned_Data!$F$2:$F$501,Cleaned_Data!$H$2:$H$501,$A126,Cleaned_Data!$D$2:$D$501,$B$3,Cleaned_Data!$I$2:$I$501,$B$4,Cleaned_Data!$N$2:$N$501,$B$5,Cleaned_Data!$L$2:$L$501,$B$6)</f>
        <v>13</v>
      </c>
      <c r="E126" s="17">
        <f t="shared" si="7"/>
        <v>1.0536238089456093E-2</v>
      </c>
      <c r="F126" s="15">
        <f>SUMIFS(Cleaned_Data!$G$2:$G$501,Cleaned_Data!$H$2:$H$501,$A126)</f>
        <v>16487</v>
      </c>
      <c r="G126" s="22">
        <f t="shared" si="8"/>
        <v>16487.000125999999</v>
      </c>
    </row>
    <row r="127" spans="1:7" x14ac:dyDescent="0.3">
      <c r="A127" s="14" t="s">
        <v>126</v>
      </c>
      <c r="B127" s="15">
        <f>SUMIFS(Cleaned_Data!$G$2:$G$501,Cleaned_Data!$H$2:$H$501,$A127,Cleaned_Data!$D$2:$D$501,$B$3,Cleaned_Data!$I$2:$I$501,$B$4,Cleaned_Data!$N$2:$N$501,$B$5,Cleaned_Data!$L$2:$L$501,$B$6)</f>
        <v>53281</v>
      </c>
      <c r="C127" s="16">
        <f>COUNTIFS(Cleaned_Data!$H$2:$H$501,$A127,Cleaned_Data!$D$2:$D$501,$B$3,Cleaned_Data!$I$2:$I$501,$B$4,Cleaned_Data!$N$2:$N$501,$B$5,Cleaned_Data!$L$2:$L$501,$B$6)</f>
        <v>11</v>
      </c>
      <c r="D127" s="16">
        <f>SUMIFS(Cleaned_Data!$F$2:$F$501,Cleaned_Data!$H$2:$H$501,$A127,Cleaned_Data!$D$2:$D$501,$B$3,Cleaned_Data!$I$2:$I$501,$B$4,Cleaned_Data!$N$2:$N$501,$B$5,Cleaned_Data!$L$2:$L$501,$B$6)</f>
        <v>19</v>
      </c>
      <c r="E127" s="17">
        <f t="shared" si="7"/>
        <v>3.4049936413192823E-2</v>
      </c>
      <c r="F127" s="15">
        <f>SUMIFS(Cleaned_Data!$G$2:$G$501,Cleaned_Data!$H$2:$H$501,$A127)</f>
        <v>53281</v>
      </c>
      <c r="G127" s="22">
        <f t="shared" si="8"/>
        <v>53281.000126999999</v>
      </c>
    </row>
    <row r="128" spans="1:7" x14ac:dyDescent="0.3">
      <c r="A128" s="14" t="s">
        <v>127</v>
      </c>
      <c r="B128" s="15">
        <f>SUMIFS(Cleaned_Data!$G$2:$G$501,Cleaned_Data!$H$2:$H$501,$A128,Cleaned_Data!$D$2:$D$501,$B$3,Cleaned_Data!$I$2:$I$501,$B$4,Cleaned_Data!$N$2:$N$501,$B$5,Cleaned_Data!$L$2:$L$501,$B$6)</f>
        <v>29587</v>
      </c>
      <c r="C128" s="16">
        <f>COUNTIFS(Cleaned_Data!$H$2:$H$501,$A128,Cleaned_Data!$D$2:$D$501,$B$3,Cleaned_Data!$I$2:$I$501,$B$4,Cleaned_Data!$N$2:$N$501,$B$5,Cleaned_Data!$L$2:$L$501,$B$6)</f>
        <v>6</v>
      </c>
      <c r="D128" s="16">
        <f>SUMIFS(Cleaned_Data!$F$2:$F$501,Cleaned_Data!$H$2:$H$501,$A128,Cleaned_Data!$D$2:$D$501,$B$3,Cleaned_Data!$I$2:$I$501,$B$4,Cleaned_Data!$N$2:$N$501,$B$5,Cleaned_Data!$L$2:$L$501,$B$6)</f>
        <v>13</v>
      </c>
      <c r="E128" s="17">
        <f t="shared" si="7"/>
        <v>1.8907968481393669E-2</v>
      </c>
      <c r="F128" s="15">
        <f>SUMIFS(Cleaned_Data!$G$2:$G$501,Cleaned_Data!$H$2:$H$501,$A128)</f>
        <v>29587</v>
      </c>
      <c r="G128" s="22">
        <f t="shared" si="8"/>
        <v>29587.000128</v>
      </c>
    </row>
    <row r="129" spans="1:7" x14ac:dyDescent="0.3">
      <c r="A129" s="14" t="s">
        <v>128</v>
      </c>
      <c r="B129" s="15">
        <f>SUMIFS(Cleaned_Data!$G$2:$G$501,Cleaned_Data!$H$2:$H$501,$A129,Cleaned_Data!$D$2:$D$501,$B$3,Cleaned_Data!$I$2:$I$501,$B$4,Cleaned_Data!$N$2:$N$501,$B$5,Cleaned_Data!$L$2:$L$501,$B$6)</f>
        <v>8792</v>
      </c>
      <c r="C129" s="16">
        <f>COUNTIFS(Cleaned_Data!$H$2:$H$501,$A129,Cleaned_Data!$D$2:$D$501,$B$3,Cleaned_Data!$I$2:$I$501,$B$4,Cleaned_Data!$N$2:$N$501,$B$5,Cleaned_Data!$L$2:$L$501,$B$6)</f>
        <v>4</v>
      </c>
      <c r="D129" s="16">
        <f>SUMIFS(Cleaned_Data!$F$2:$F$501,Cleaned_Data!$H$2:$H$501,$A129,Cleaned_Data!$D$2:$D$501,$B$3,Cleaned_Data!$I$2:$I$501,$B$4,Cleaned_Data!$N$2:$N$501,$B$5,Cleaned_Data!$L$2:$L$501,$B$6)</f>
        <v>8</v>
      </c>
      <c r="E129" s="17">
        <f t="shared" si="7"/>
        <v>5.6186453134286392E-3</v>
      </c>
      <c r="F129" s="15">
        <f>SUMIFS(Cleaned_Data!$G$2:$G$501,Cleaned_Data!$H$2:$H$501,$A129)</f>
        <v>8792</v>
      </c>
      <c r="G129" s="22">
        <f t="shared" si="8"/>
        <v>8792.000129</v>
      </c>
    </row>
    <row r="130" spans="1:7" x14ac:dyDescent="0.3">
      <c r="A130" s="14" t="s">
        <v>129</v>
      </c>
      <c r="B130" s="15">
        <f>SUMIFS(Cleaned_Data!$G$2:$G$501,Cleaned_Data!$H$2:$H$501,$A130,Cleaned_Data!$D$2:$D$501,$B$3,Cleaned_Data!$I$2:$I$501,$B$4,Cleaned_Data!$N$2:$N$501,$B$5,Cleaned_Data!$L$2:$L$501,$B$6)</f>
        <v>17992</v>
      </c>
      <c r="C130" s="16">
        <f>COUNTIFS(Cleaned_Data!$H$2:$H$501,$A130,Cleaned_Data!$D$2:$D$501,$B$3,Cleaned_Data!$I$2:$I$501,$B$4,Cleaned_Data!$N$2:$N$501,$B$5,Cleaned_Data!$L$2:$L$501,$B$6)</f>
        <v>4</v>
      </c>
      <c r="D130" s="16">
        <f>SUMIFS(Cleaned_Data!$F$2:$F$501,Cleaned_Data!$H$2:$H$501,$A130,Cleaned_Data!$D$2:$D$501,$B$3,Cleaned_Data!$I$2:$I$501,$B$4,Cleaned_Data!$N$2:$N$501,$B$5,Cleaned_Data!$L$2:$L$501,$B$6)</f>
        <v>8</v>
      </c>
      <c r="E130" s="17">
        <f t="shared" si="7"/>
        <v>1.1498028489445868E-2</v>
      </c>
      <c r="F130" s="15">
        <f>SUMIFS(Cleaned_Data!$G$2:$G$501,Cleaned_Data!$H$2:$H$501,$A130)</f>
        <v>17992</v>
      </c>
      <c r="G130" s="22">
        <f t="shared" si="8"/>
        <v>17992.00013</v>
      </c>
    </row>
    <row r="131" spans="1:7" x14ac:dyDescent="0.3">
      <c r="A131" s="14" t="s">
        <v>130</v>
      </c>
      <c r="B131" s="15">
        <f>SUMIFS(Cleaned_Data!$G$2:$G$501,Cleaned_Data!$H$2:$H$501,$A131,Cleaned_Data!$D$2:$D$501,$B$3,Cleaned_Data!$I$2:$I$501,$B$4,Cleaned_Data!$N$2:$N$501,$B$5,Cleaned_Data!$L$2:$L$501,$B$6)</f>
        <v>10093</v>
      </c>
      <c r="C131" s="16">
        <f>COUNTIFS(Cleaned_Data!$H$2:$H$501,$A131,Cleaned_Data!$D$2:$D$501,$B$3,Cleaned_Data!$I$2:$I$501,$B$4,Cleaned_Data!$N$2:$N$501,$B$5,Cleaned_Data!$L$2:$L$501,$B$6)</f>
        <v>6</v>
      </c>
      <c r="D131" s="16">
        <f>SUMIFS(Cleaned_Data!$F$2:$F$501,Cleaned_Data!$H$2:$H$501,$A131,Cleaned_Data!$D$2:$D$501,$B$3,Cleaned_Data!$I$2:$I$501,$B$4,Cleaned_Data!$N$2:$N$501,$B$5,Cleaned_Data!$L$2:$L$501,$B$6)</f>
        <v>7</v>
      </c>
      <c r="E131" s="17">
        <f t="shared" si="7"/>
        <v>6.4500667821241189E-3</v>
      </c>
      <c r="F131" s="15">
        <f>SUMIFS(Cleaned_Data!$G$2:$G$501,Cleaned_Data!$H$2:$H$501,$A131)</f>
        <v>10093</v>
      </c>
      <c r="G131" s="22">
        <f t="shared" si="8"/>
        <v>10093.000131000001</v>
      </c>
    </row>
    <row r="132" spans="1:7" x14ac:dyDescent="0.3">
      <c r="A132" s="14" t="s">
        <v>131</v>
      </c>
      <c r="B132" s="15">
        <f>SUMIFS(Cleaned_Data!$G$2:$G$501,Cleaned_Data!$H$2:$H$501,$A132,Cleaned_Data!$D$2:$D$501,$B$3,Cleaned_Data!$I$2:$I$501,$B$4,Cleaned_Data!$N$2:$N$501,$B$5,Cleaned_Data!$L$2:$L$501,$B$6)</f>
        <v>19887</v>
      </c>
      <c r="C132" s="16">
        <f>COUNTIFS(Cleaned_Data!$H$2:$H$501,$A132,Cleaned_Data!$D$2:$D$501,$B$3,Cleaned_Data!$I$2:$I$501,$B$4,Cleaned_Data!$N$2:$N$501,$B$5,Cleaned_Data!$L$2:$L$501,$B$6)</f>
        <v>7</v>
      </c>
      <c r="D132" s="16">
        <f>SUMIFS(Cleaned_Data!$F$2:$F$501,Cleaned_Data!$H$2:$H$501,$A132,Cleaned_Data!$D$2:$D$501,$B$3,Cleaned_Data!$I$2:$I$501,$B$4,Cleaned_Data!$N$2:$N$501,$B$5,Cleaned_Data!$L$2:$L$501,$B$6)</f>
        <v>13</v>
      </c>
      <c r="E132" s="17">
        <f t="shared" si="7"/>
        <v>1.2709053611027678E-2</v>
      </c>
      <c r="F132" s="15">
        <f>SUMIFS(Cleaned_Data!$G$2:$G$501,Cleaned_Data!$H$2:$H$501,$A132)</f>
        <v>19887</v>
      </c>
      <c r="G132" s="22">
        <f t="shared" si="8"/>
        <v>19887.000132000001</v>
      </c>
    </row>
    <row r="133" spans="1:7" x14ac:dyDescent="0.3">
      <c r="A133" s="18" t="s">
        <v>33</v>
      </c>
      <c r="B133" s="19">
        <f>SUM(B73:B132)</f>
        <v>1564790</v>
      </c>
      <c r="C133" s="20">
        <f>SUM(C73:C132)</f>
        <v>500</v>
      </c>
      <c r="D133" s="20">
        <f>SUM(D73:D132)</f>
        <v>810</v>
      </c>
      <c r="E133" s="21">
        <f>SUM(E73:E132)</f>
        <v>1</v>
      </c>
      <c r="F133" s="19">
        <f>SUM(F73:F132)</f>
        <v>1564790</v>
      </c>
      <c r="G133" s="23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3" customWidth="1"/>
    <col min="3" max="3" width="26" customWidth="1"/>
    <col min="4" max="4" width="16" customWidth="1"/>
    <col min="5" max="6" width="10" customWidth="1"/>
    <col min="7" max="7" width="13" customWidth="1"/>
    <col min="8" max="8" width="20" customWidth="1"/>
    <col min="9" max="10" width="18" customWidth="1"/>
    <col min="11" max="11" width="12" customWidth="1"/>
    <col min="12" max="12" width="8" customWidth="1"/>
    <col min="13" max="13" width="12" customWidth="1"/>
    <col min="14" max="14" width="13" customWidth="1"/>
    <col min="15" max="15" width="12" customWidth="1"/>
  </cols>
  <sheetData>
    <row r="1" spans="1:15" ht="26.4" x14ac:dyDescent="0.3">
      <c r="A1" s="13" t="s">
        <v>132</v>
      </c>
      <c r="B1" s="13" t="s">
        <v>133</v>
      </c>
      <c r="C1" s="13" t="s">
        <v>134</v>
      </c>
      <c r="D1" s="13" t="s">
        <v>2</v>
      </c>
      <c r="E1" s="13" t="s">
        <v>135</v>
      </c>
      <c r="F1" s="13" t="s">
        <v>136</v>
      </c>
      <c r="G1" s="13" t="s">
        <v>7</v>
      </c>
      <c r="H1" s="13" t="s">
        <v>137</v>
      </c>
      <c r="I1" s="13" t="s">
        <v>4</v>
      </c>
      <c r="J1" s="13" t="s">
        <v>138</v>
      </c>
      <c r="K1" s="13" t="s">
        <v>5</v>
      </c>
      <c r="L1" s="13" t="s">
        <v>6</v>
      </c>
      <c r="M1" s="13" t="s">
        <v>139</v>
      </c>
      <c r="N1" s="13" t="s">
        <v>140</v>
      </c>
      <c r="O1" s="13" t="s">
        <v>141</v>
      </c>
    </row>
    <row r="2" spans="1:15" x14ac:dyDescent="0.3">
      <c r="A2" s="24" t="str">
        <f>TRIM(Raw_Data!A2)</f>
        <v>AMZ-10052</v>
      </c>
      <c r="B2" s="25">
        <f>Raw_Data!B2</f>
        <v>46266</v>
      </c>
      <c r="C2" s="24" t="str">
        <f>PROPER(TRIM(Raw_Data!C2))</f>
        <v>Mixer Grinder</v>
      </c>
      <c r="D2" s="24" t="str">
        <f>TRIM(Raw_Data!D2)</f>
        <v>Home &amp; Kitchen</v>
      </c>
      <c r="E2" s="26">
        <f>Raw_Data!E2</f>
        <v>3499</v>
      </c>
      <c r="F2" s="24">
        <f>Raw_Data!F2</f>
        <v>1</v>
      </c>
      <c r="G2" s="26">
        <f t="shared" ref="G2:G65" si="0">E2*F2</f>
        <v>3499</v>
      </c>
      <c r="H2" s="24" t="str">
        <f>PROPER(TRIM(Raw_Data!H2))</f>
        <v>Vikram Joshi</v>
      </c>
      <c r="I2" s="24" t="str">
        <f>PROPER(TRIM(Raw_Data!I2))</f>
        <v>Hyderabad</v>
      </c>
      <c r="J2" s="24" t="str">
        <f>TRIM(Raw_Data!J2)</f>
        <v>UPI</v>
      </c>
      <c r="K2" s="24" t="str">
        <f>PROPER(TRIM(Raw_Data!K2))</f>
        <v>Delivered</v>
      </c>
      <c r="L2" s="24" t="str">
        <f t="shared" ref="L2:L65" si="1">TEXT(B2,"MMM")</f>
        <v>Sep</v>
      </c>
      <c r="M2" s="24" t="str">
        <f t="shared" ref="M2:M65" si="2">TEXT(B2,"ddd")</f>
        <v>Tue</v>
      </c>
      <c r="N2" s="24" t="str">
        <f t="shared" ref="N2:N65" si="3">IF(K2="Delivered","Delivered",IF(K2="Cancelled","Cancelled","Pending"))</f>
        <v>Delivered</v>
      </c>
      <c r="O2" s="24" t="str">
        <f>IF(ROUND(G2-Raw_Data!G2,2)=0,"OK","Corrected")</f>
        <v>OK</v>
      </c>
    </row>
    <row r="3" spans="1:15" x14ac:dyDescent="0.3">
      <c r="A3" s="24" t="str">
        <f>TRIM(Raw_Data!A3)</f>
        <v>AMZ-10123</v>
      </c>
      <c r="B3" s="25">
        <f>Raw_Data!B3</f>
        <v>46266</v>
      </c>
      <c r="C3" s="24" t="str">
        <f>PROPER(TRIM(Raw_Data!C3))</f>
        <v>Self Help Book</v>
      </c>
      <c r="D3" s="24" t="str">
        <f>TRIM(Raw_Data!D3)</f>
        <v>Books</v>
      </c>
      <c r="E3" s="26">
        <f>Raw_Data!E3</f>
        <v>399</v>
      </c>
      <c r="F3" s="24">
        <f>Raw_Data!F3</f>
        <v>3</v>
      </c>
      <c r="G3" s="26">
        <f t="shared" si="0"/>
        <v>1197</v>
      </c>
      <c r="H3" s="24" t="str">
        <f>PROPER(TRIM(Raw_Data!H3))</f>
        <v>Vikram Iyer</v>
      </c>
      <c r="I3" s="24" t="str">
        <f>PROPER(TRIM(Raw_Data!I3))</f>
        <v>Bangalore</v>
      </c>
      <c r="J3" s="24" t="str">
        <f>TRIM(Raw_Data!J3)</f>
        <v>Debit Card</v>
      </c>
      <c r="K3" s="24" t="str">
        <f>PROPER(TRIM(Raw_Data!K3))</f>
        <v>Delivered</v>
      </c>
      <c r="L3" s="24" t="str">
        <f t="shared" si="1"/>
        <v>Sep</v>
      </c>
      <c r="M3" s="24" t="str">
        <f t="shared" si="2"/>
        <v>Tue</v>
      </c>
      <c r="N3" s="24" t="str">
        <f t="shared" si="3"/>
        <v>Delivered</v>
      </c>
      <c r="O3" s="24" t="str">
        <f>IF(ROUND(G3-Raw_Data!G3,2)=0,"OK","Corrected")</f>
        <v>OK</v>
      </c>
    </row>
    <row r="4" spans="1:15" x14ac:dyDescent="0.3">
      <c r="A4" s="24" t="str">
        <f>TRIM(Raw_Data!A4)</f>
        <v>AMZ-10196</v>
      </c>
      <c r="B4" s="25">
        <f>Raw_Data!B4</f>
        <v>46266</v>
      </c>
      <c r="C4" s="24" t="str">
        <f>PROPER(TRIM(Raw_Data!C4))</f>
        <v>Water Bottle</v>
      </c>
      <c r="D4" s="24" t="str">
        <f>TRIM(Raw_Data!D4)</f>
        <v>Home &amp; Kitchen</v>
      </c>
      <c r="E4" s="26">
        <f>Raw_Data!E4</f>
        <v>499</v>
      </c>
      <c r="F4" s="24">
        <f>Raw_Data!F4</f>
        <v>2</v>
      </c>
      <c r="G4" s="26">
        <f t="shared" si="0"/>
        <v>998</v>
      </c>
      <c r="H4" s="24" t="str">
        <f>PROPER(TRIM(Raw_Data!H4))</f>
        <v>Priya Das</v>
      </c>
      <c r="I4" s="24" t="str">
        <f>PROPER(TRIM(Raw_Data!I4))</f>
        <v>Hyderabad</v>
      </c>
      <c r="J4" s="24" t="str">
        <f>TRIM(Raw_Data!J4)</f>
        <v>Debit Card</v>
      </c>
      <c r="K4" s="24" t="str">
        <f>PROPER(TRIM(Raw_Data!K4))</f>
        <v>Delivered</v>
      </c>
      <c r="L4" s="24" t="str">
        <f t="shared" si="1"/>
        <v>Sep</v>
      </c>
      <c r="M4" s="24" t="str">
        <f t="shared" si="2"/>
        <v>Tue</v>
      </c>
      <c r="N4" s="24" t="str">
        <f t="shared" si="3"/>
        <v>Delivered</v>
      </c>
      <c r="O4" s="24" t="str">
        <f>IF(ROUND(G4-Raw_Data!G4,2)=0,"OK","Corrected")</f>
        <v>OK</v>
      </c>
    </row>
    <row r="5" spans="1:15" x14ac:dyDescent="0.3">
      <c r="A5" s="24" t="str">
        <f>TRIM(Raw_Data!A5)</f>
        <v>AMZ-10245</v>
      </c>
      <c r="B5" s="25">
        <f>Raw_Data!B5</f>
        <v>46266</v>
      </c>
      <c r="C5" s="24" t="str">
        <f>PROPER(TRIM(Raw_Data!C5))</f>
        <v>Self Help Book</v>
      </c>
      <c r="D5" s="24" t="str">
        <f>TRIM(Raw_Data!D5)</f>
        <v>Books</v>
      </c>
      <c r="E5" s="26">
        <f>Raw_Data!E5</f>
        <v>399</v>
      </c>
      <c r="F5" s="24">
        <f>Raw_Data!F5</f>
        <v>3</v>
      </c>
      <c r="G5" s="26">
        <f t="shared" si="0"/>
        <v>1197</v>
      </c>
      <c r="H5" s="24" t="str">
        <f>PROPER(TRIM(Raw_Data!H5))</f>
        <v>Vivaan Sharma</v>
      </c>
      <c r="I5" s="24" t="str">
        <f>PROPER(TRIM(Raw_Data!I5))</f>
        <v>Mumbai</v>
      </c>
      <c r="J5" s="24" t="str">
        <f>TRIM(Raw_Data!J5)</f>
        <v>Credit Card</v>
      </c>
      <c r="K5" s="24" t="str">
        <f>PROPER(TRIM(Raw_Data!K5))</f>
        <v>Delivered</v>
      </c>
      <c r="L5" s="24" t="str">
        <f t="shared" si="1"/>
        <v>Sep</v>
      </c>
      <c r="M5" s="24" t="str">
        <f t="shared" si="2"/>
        <v>Tue</v>
      </c>
      <c r="N5" s="24" t="str">
        <f t="shared" si="3"/>
        <v>Delivered</v>
      </c>
      <c r="O5" s="24" t="str">
        <f>IF(ROUND(G5-Raw_Data!G5,2)=0,"OK","Corrected")</f>
        <v>OK</v>
      </c>
    </row>
    <row r="6" spans="1:15" x14ac:dyDescent="0.3">
      <c r="A6" s="24" t="str">
        <f>TRIM(Raw_Data!A6)</f>
        <v>AMZ-10252</v>
      </c>
      <c r="B6" s="25">
        <f>Raw_Data!B6</f>
        <v>46266</v>
      </c>
      <c r="C6" s="24" t="str">
        <f>PROPER(TRIM(Raw_Data!C6))</f>
        <v>Cotton T-Shirt</v>
      </c>
      <c r="D6" s="24" t="str">
        <f>TRIM(Raw_Data!D6)</f>
        <v>Clothing</v>
      </c>
      <c r="E6" s="26">
        <f>Raw_Data!E6</f>
        <v>599</v>
      </c>
      <c r="F6" s="24">
        <f>Raw_Data!F6</f>
        <v>1</v>
      </c>
      <c r="G6" s="26">
        <f t="shared" si="0"/>
        <v>599</v>
      </c>
      <c r="H6" s="24" t="str">
        <f>PROPER(TRIM(Raw_Data!H6))</f>
        <v>Priya Chopra</v>
      </c>
      <c r="I6" s="24" t="str">
        <f>PROPER(TRIM(Raw_Data!I6))</f>
        <v>Bangalore</v>
      </c>
      <c r="J6" s="24" t="str">
        <f>TRIM(Raw_Data!J6)</f>
        <v>Debit Card</v>
      </c>
      <c r="K6" s="24" t="str">
        <f>PROPER(TRIM(Raw_Data!K6))</f>
        <v>Delivered</v>
      </c>
      <c r="L6" s="24" t="str">
        <f t="shared" si="1"/>
        <v>Sep</v>
      </c>
      <c r="M6" s="24" t="str">
        <f t="shared" si="2"/>
        <v>Tue</v>
      </c>
      <c r="N6" s="24" t="str">
        <f t="shared" si="3"/>
        <v>Delivered</v>
      </c>
      <c r="O6" s="24" t="str">
        <f>IF(ROUND(G6-Raw_Data!G6,2)=0,"OK","Corrected")</f>
        <v>OK</v>
      </c>
    </row>
    <row r="7" spans="1:15" x14ac:dyDescent="0.3">
      <c r="A7" s="24" t="str">
        <f>TRIM(Raw_Data!A7)</f>
        <v>AMZ-10255</v>
      </c>
      <c r="B7" s="25">
        <f>Raw_Data!B7</f>
        <v>46266</v>
      </c>
      <c r="C7" s="24" t="str">
        <f>PROPER(TRIM(Raw_Data!C7))</f>
        <v>Sandals</v>
      </c>
      <c r="D7" s="24" t="str">
        <f>TRIM(Raw_Data!D7)</f>
        <v>Footwear</v>
      </c>
      <c r="E7" s="26">
        <f>Raw_Data!E7</f>
        <v>899</v>
      </c>
      <c r="F7" s="24">
        <f>Raw_Data!F7</f>
        <v>4</v>
      </c>
      <c r="G7" s="26">
        <f t="shared" si="0"/>
        <v>3596</v>
      </c>
      <c r="H7" s="24" t="str">
        <f>PROPER(TRIM(Raw_Data!H7))</f>
        <v>Priya Das</v>
      </c>
      <c r="I7" s="24" t="str">
        <f>PROPER(TRIM(Raw_Data!I7))</f>
        <v>Hyderabad</v>
      </c>
      <c r="J7" s="24" t="str">
        <f>TRIM(Raw_Data!J7)</f>
        <v>Credit Card</v>
      </c>
      <c r="K7" s="24" t="str">
        <f>PROPER(TRIM(Raw_Data!K7))</f>
        <v>Delivered</v>
      </c>
      <c r="L7" s="24" t="str">
        <f t="shared" si="1"/>
        <v>Sep</v>
      </c>
      <c r="M7" s="24" t="str">
        <f t="shared" si="2"/>
        <v>Tue</v>
      </c>
      <c r="N7" s="24" t="str">
        <f t="shared" si="3"/>
        <v>Delivered</v>
      </c>
      <c r="O7" s="24" t="str">
        <f>IF(ROUND(G7-Raw_Data!G7,2)=0,"OK","Corrected")</f>
        <v>OK</v>
      </c>
    </row>
    <row r="8" spans="1:15" x14ac:dyDescent="0.3">
      <c r="A8" s="24" t="str">
        <f>TRIM(Raw_Data!A9)</f>
        <v>AMZ-10301</v>
      </c>
      <c r="B8" s="25">
        <f>Raw_Data!B9</f>
        <v>46266</v>
      </c>
      <c r="C8" s="24" t="str">
        <f>PROPER(TRIM(Raw_Data!C9))</f>
        <v>Sandals</v>
      </c>
      <c r="D8" s="24" t="str">
        <f>TRIM(Raw_Data!D9)</f>
        <v>Footwear</v>
      </c>
      <c r="E8" s="26">
        <f>Raw_Data!E9</f>
        <v>899</v>
      </c>
      <c r="F8" s="24">
        <f>Raw_Data!F9</f>
        <v>3</v>
      </c>
      <c r="G8" s="26">
        <f t="shared" si="0"/>
        <v>2697</v>
      </c>
      <c r="H8" s="24" t="str">
        <f>PROPER(TRIM(Raw_Data!H9))</f>
        <v>Nikhil Reddy</v>
      </c>
      <c r="I8" s="24" t="str">
        <f>PROPER(TRIM(Raw_Data!I9))</f>
        <v>Chennai</v>
      </c>
      <c r="J8" s="24" t="str">
        <f>TRIM(Raw_Data!J9)</f>
        <v>UPI</v>
      </c>
      <c r="K8" s="24" t="str">
        <f>PROPER(TRIM(Raw_Data!K9))</f>
        <v>Delivered</v>
      </c>
      <c r="L8" s="24" t="str">
        <f t="shared" si="1"/>
        <v>Sep</v>
      </c>
      <c r="M8" s="24" t="str">
        <f t="shared" si="2"/>
        <v>Tue</v>
      </c>
      <c r="N8" s="24" t="str">
        <f t="shared" si="3"/>
        <v>Delivered</v>
      </c>
      <c r="O8" s="24" t="str">
        <f>IF(ROUND(G8-Raw_Data!G9,2)=0,"OK","Corrected")</f>
        <v>OK</v>
      </c>
    </row>
    <row r="9" spans="1:15" x14ac:dyDescent="0.3">
      <c r="A9" s="24" t="str">
        <f>TRIM(Raw_Data!A11)</f>
        <v>AMZ-10364</v>
      </c>
      <c r="B9" s="25">
        <f>Raw_Data!B11</f>
        <v>46266</v>
      </c>
      <c r="C9" s="24" t="str">
        <f>PROPER(TRIM(Raw_Data!C11))</f>
        <v>Water Bottle</v>
      </c>
      <c r="D9" s="24" t="str">
        <f>TRIM(Raw_Data!D11)</f>
        <v>Home &amp; Kitchen</v>
      </c>
      <c r="E9" s="26">
        <f>Raw_Data!E11</f>
        <v>499</v>
      </c>
      <c r="F9" s="24">
        <f>Raw_Data!F11</f>
        <v>3</v>
      </c>
      <c r="G9" s="26">
        <f t="shared" si="0"/>
        <v>1497</v>
      </c>
      <c r="H9" s="24" t="str">
        <f>PROPER(TRIM(Raw_Data!H11))</f>
        <v>Vivaan Das</v>
      </c>
      <c r="I9" s="24" t="str">
        <f>PROPER(TRIM(Raw_Data!I11))</f>
        <v>Ahmedabad</v>
      </c>
      <c r="J9" s="24" t="str">
        <f>TRIM(Raw_Data!J11)</f>
        <v>UPI</v>
      </c>
      <c r="K9" s="24" t="str">
        <f>PROPER(TRIM(Raw_Data!K11))</f>
        <v>Delivered</v>
      </c>
      <c r="L9" s="24" t="str">
        <f t="shared" si="1"/>
        <v>Sep</v>
      </c>
      <c r="M9" s="24" t="str">
        <f t="shared" si="2"/>
        <v>Tue</v>
      </c>
      <c r="N9" s="24" t="str">
        <f t="shared" si="3"/>
        <v>Delivered</v>
      </c>
      <c r="O9" s="24" t="str">
        <f>IF(ROUND(G9-Raw_Data!G11,2)=0,"OK","Corrected")</f>
        <v>OK</v>
      </c>
    </row>
    <row r="10" spans="1:15" x14ac:dyDescent="0.3">
      <c r="A10" s="24" t="str">
        <f>TRIM(Raw_Data!A12)</f>
        <v>AMZ-10414</v>
      </c>
      <c r="B10" s="25">
        <f>Raw_Data!B12</f>
        <v>46266</v>
      </c>
      <c r="C10" s="24" t="str">
        <f>PROPER(TRIM(Raw_Data!C12))</f>
        <v>Air Fryer</v>
      </c>
      <c r="D10" s="24" t="str">
        <f>TRIM(Raw_Data!D12)</f>
        <v>Home &amp; Kitchen</v>
      </c>
      <c r="E10" s="26">
        <f>Raw_Data!E12</f>
        <v>5999</v>
      </c>
      <c r="F10" s="24">
        <f>Raw_Data!F12</f>
        <v>1</v>
      </c>
      <c r="G10" s="26">
        <f t="shared" si="0"/>
        <v>5999</v>
      </c>
      <c r="H10" s="24" t="str">
        <f>PROPER(TRIM(Raw_Data!H12))</f>
        <v>Aditya Singh</v>
      </c>
      <c r="I10" s="24" t="str">
        <f>PROPER(TRIM(Raw_Data!I12))</f>
        <v>Delhi</v>
      </c>
      <c r="J10" s="24" t="str">
        <f>TRIM(Raw_Data!J12)</f>
        <v>UPI</v>
      </c>
      <c r="K10" s="24" t="str">
        <f>PROPER(TRIM(Raw_Data!K12))</f>
        <v>Delivered</v>
      </c>
      <c r="L10" s="24" t="str">
        <f t="shared" si="1"/>
        <v>Sep</v>
      </c>
      <c r="M10" s="24" t="str">
        <f t="shared" si="2"/>
        <v>Tue</v>
      </c>
      <c r="N10" s="24" t="str">
        <f t="shared" si="3"/>
        <v>Delivered</v>
      </c>
      <c r="O10" s="24" t="str">
        <f>IF(ROUND(G10-Raw_Data!G12,2)=0,"OK","Corrected")</f>
        <v>OK</v>
      </c>
    </row>
    <row r="11" spans="1:15" x14ac:dyDescent="0.3">
      <c r="A11" s="24" t="str">
        <f>TRIM(Raw_Data!A13)</f>
        <v>AMZ-10484</v>
      </c>
      <c r="B11" s="25">
        <f>Raw_Data!B13</f>
        <v>46266</v>
      </c>
      <c r="C11" s="24" t="str">
        <f>PROPER(TRIM(Raw_Data!C13))</f>
        <v>Water Bottle</v>
      </c>
      <c r="D11" s="24" t="str">
        <f>TRIM(Raw_Data!D13)</f>
        <v>Home &amp; Kitchen</v>
      </c>
      <c r="E11" s="26">
        <f>Raw_Data!E13</f>
        <v>499</v>
      </c>
      <c r="F11" s="24">
        <f>Raw_Data!F13</f>
        <v>1</v>
      </c>
      <c r="G11" s="26">
        <f t="shared" si="0"/>
        <v>499</v>
      </c>
      <c r="H11" s="24" t="str">
        <f>PROPER(TRIM(Raw_Data!H13))</f>
        <v>Priya Iyer</v>
      </c>
      <c r="I11" s="24" t="str">
        <f>PROPER(TRIM(Raw_Data!I13))</f>
        <v>Delhi</v>
      </c>
      <c r="J11" s="24" t="str">
        <f>TRIM(Raw_Data!J13)</f>
        <v>Debit Card</v>
      </c>
      <c r="K11" s="24" t="str">
        <f>PROPER(TRIM(Raw_Data!K13))</f>
        <v>Delivered</v>
      </c>
      <c r="L11" s="24" t="str">
        <f t="shared" si="1"/>
        <v>Sep</v>
      </c>
      <c r="M11" s="24" t="str">
        <f t="shared" si="2"/>
        <v>Tue</v>
      </c>
      <c r="N11" s="24" t="str">
        <f t="shared" si="3"/>
        <v>Delivered</v>
      </c>
      <c r="O11" s="24" t="str">
        <f>IF(ROUND(G11-Raw_Data!G13,2)=0,"OK","Corrected")</f>
        <v>OK</v>
      </c>
    </row>
    <row r="12" spans="1:15" x14ac:dyDescent="0.3">
      <c r="A12" s="24" t="str">
        <f>TRIM(Raw_Data!A14)</f>
        <v>AMZ-10113</v>
      </c>
      <c r="B12" s="25">
        <f>Raw_Data!B14</f>
        <v>46267</v>
      </c>
      <c r="C12" s="24" t="str">
        <f>PROPER(TRIM(Raw_Data!C14))</f>
        <v>Cotton T-Shirt</v>
      </c>
      <c r="D12" s="24" t="str">
        <f>TRIM(Raw_Data!D14)</f>
        <v>Clothing</v>
      </c>
      <c r="E12" s="26">
        <f>Raw_Data!E14</f>
        <v>599</v>
      </c>
      <c r="F12" s="24">
        <f>Raw_Data!F14</f>
        <v>2</v>
      </c>
      <c r="G12" s="26">
        <f t="shared" si="0"/>
        <v>1198</v>
      </c>
      <c r="H12" s="24" t="str">
        <f>PROPER(TRIM(Raw_Data!H14))</f>
        <v>Aditya Rao</v>
      </c>
      <c r="I12" s="24" t="str">
        <f>PROPER(TRIM(Raw_Data!I14))</f>
        <v>Delhi</v>
      </c>
      <c r="J12" s="24" t="str">
        <f>TRIM(Raw_Data!J14)</f>
        <v>UPI</v>
      </c>
      <c r="K12" s="24" t="str">
        <f>PROPER(TRIM(Raw_Data!K14))</f>
        <v>Delivered</v>
      </c>
      <c r="L12" s="24" t="str">
        <f t="shared" si="1"/>
        <v>Sep</v>
      </c>
      <c r="M12" s="24" t="str">
        <f t="shared" si="2"/>
        <v>Wed</v>
      </c>
      <c r="N12" s="24" t="str">
        <f t="shared" si="3"/>
        <v>Delivered</v>
      </c>
      <c r="O12" s="24" t="str">
        <f>IF(ROUND(G12-Raw_Data!G14,2)=0,"OK","Corrected")</f>
        <v>OK</v>
      </c>
    </row>
    <row r="13" spans="1:15" x14ac:dyDescent="0.3">
      <c r="A13" s="24" t="str">
        <f>TRIM(Raw_Data!A15)</f>
        <v>AMZ-10145</v>
      </c>
      <c r="B13" s="25">
        <f>Raw_Data!B15</f>
        <v>46267</v>
      </c>
      <c r="C13" s="24" t="str">
        <f>PROPER(TRIM(Raw_Data!C15))</f>
        <v>Cotton T-Shirt</v>
      </c>
      <c r="D13" s="24" t="str">
        <f>TRIM(Raw_Data!D15)</f>
        <v>Clothing</v>
      </c>
      <c r="E13" s="26">
        <f>Raw_Data!E15</f>
        <v>599</v>
      </c>
      <c r="F13" s="24">
        <f>Raw_Data!F15</f>
        <v>1</v>
      </c>
      <c r="G13" s="26">
        <f t="shared" si="0"/>
        <v>599</v>
      </c>
      <c r="H13" s="24" t="str">
        <f>PROPER(TRIM(Raw_Data!H15))</f>
        <v>Tanvi Joshi</v>
      </c>
      <c r="I13" s="24" t="str">
        <f>PROPER(TRIM(Raw_Data!I15))</f>
        <v>Bangalore</v>
      </c>
      <c r="J13" s="24" t="str">
        <f>TRIM(Raw_Data!J15)</f>
        <v>UPI</v>
      </c>
      <c r="K13" s="24" t="str">
        <f>PROPER(TRIM(Raw_Data!K15))</f>
        <v>Delivered</v>
      </c>
      <c r="L13" s="24" t="str">
        <f t="shared" si="1"/>
        <v>Sep</v>
      </c>
      <c r="M13" s="24" t="str">
        <f t="shared" si="2"/>
        <v>Wed</v>
      </c>
      <c r="N13" s="24" t="str">
        <f t="shared" si="3"/>
        <v>Delivered</v>
      </c>
      <c r="O13" s="24" t="str">
        <f>IF(ROUND(G13-Raw_Data!G15,2)=0,"OK","Corrected")</f>
        <v>OK</v>
      </c>
    </row>
    <row r="14" spans="1:15" x14ac:dyDescent="0.3">
      <c r="A14" s="24" t="str">
        <f>TRIM(Raw_Data!A16)</f>
        <v>AMZ-10182</v>
      </c>
      <c r="B14" s="25">
        <f>Raw_Data!B16</f>
        <v>46267</v>
      </c>
      <c r="C14" s="24" t="str">
        <f>PROPER(TRIM(Raw_Data!C16))</f>
        <v>Air Fryer</v>
      </c>
      <c r="D14" s="24" t="str">
        <f>TRIM(Raw_Data!D16)</f>
        <v>Home &amp; Kitchen</v>
      </c>
      <c r="E14" s="26">
        <f>Raw_Data!E16</f>
        <v>5999</v>
      </c>
      <c r="F14" s="24">
        <f>Raw_Data!F16</f>
        <v>1</v>
      </c>
      <c r="G14" s="26">
        <f t="shared" si="0"/>
        <v>5999</v>
      </c>
      <c r="H14" s="24" t="str">
        <f>PROPER(TRIM(Raw_Data!H16))</f>
        <v>Aarav Joshi</v>
      </c>
      <c r="I14" s="24" t="str">
        <f>PROPER(TRIM(Raw_Data!I16))</f>
        <v>Pune</v>
      </c>
      <c r="J14" s="24" t="str">
        <f>TRIM(Raw_Data!J16)</f>
        <v>Net Banking</v>
      </c>
      <c r="K14" s="24" t="str">
        <f>PROPER(TRIM(Raw_Data!K16))</f>
        <v>Cancelled</v>
      </c>
      <c r="L14" s="24" t="str">
        <f t="shared" si="1"/>
        <v>Sep</v>
      </c>
      <c r="M14" s="24" t="str">
        <f t="shared" si="2"/>
        <v>Wed</v>
      </c>
      <c r="N14" s="24" t="str">
        <f t="shared" si="3"/>
        <v>Cancelled</v>
      </c>
      <c r="O14" s="24" t="str">
        <f>IF(ROUND(G14-Raw_Data!G16,2)=0,"OK","Corrected")</f>
        <v>OK</v>
      </c>
    </row>
    <row r="15" spans="1:15" x14ac:dyDescent="0.3">
      <c r="A15" s="24" t="str">
        <f>TRIM(Raw_Data!A17)</f>
        <v>AMZ-10204</v>
      </c>
      <c r="B15" s="25">
        <f>Raw_Data!B17</f>
        <v>46267</v>
      </c>
      <c r="C15" s="24" t="str">
        <f>PROPER(TRIM(Raw_Data!C17))</f>
        <v>Mixer Grinder</v>
      </c>
      <c r="D15" s="24" t="str">
        <f>TRIM(Raw_Data!D17)</f>
        <v>Home &amp; Kitchen</v>
      </c>
      <c r="E15" s="26">
        <f>Raw_Data!E17</f>
        <v>3499</v>
      </c>
      <c r="F15" s="24">
        <f>Raw_Data!F17</f>
        <v>1</v>
      </c>
      <c r="G15" s="26">
        <f t="shared" si="0"/>
        <v>3499</v>
      </c>
      <c r="H15" s="24" t="str">
        <f>PROPER(TRIM(Raw_Data!H17))</f>
        <v>Kavya Patel</v>
      </c>
      <c r="I15" s="24" t="str">
        <f>PROPER(TRIM(Raw_Data!I17))</f>
        <v>Hyderabad</v>
      </c>
      <c r="J15" s="24" t="str">
        <f>TRIM(Raw_Data!J17)</f>
        <v>UPI</v>
      </c>
      <c r="K15" s="24" t="str">
        <f>PROPER(TRIM(Raw_Data!K17))</f>
        <v>Shipped</v>
      </c>
      <c r="L15" s="24" t="str">
        <f t="shared" si="1"/>
        <v>Sep</v>
      </c>
      <c r="M15" s="24" t="str">
        <f t="shared" si="2"/>
        <v>Wed</v>
      </c>
      <c r="N15" s="24" t="str">
        <f t="shared" si="3"/>
        <v>Pending</v>
      </c>
      <c r="O15" s="24" t="str">
        <f>IF(ROUND(G15-Raw_Data!G17,2)=0,"OK","Corrected")</f>
        <v>OK</v>
      </c>
    </row>
    <row r="16" spans="1:15" x14ac:dyDescent="0.3">
      <c r="A16" s="24" t="str">
        <f>TRIM(Raw_Data!A18)</f>
        <v>AMZ-10237</v>
      </c>
      <c r="B16" s="25">
        <f>Raw_Data!B18</f>
        <v>46267</v>
      </c>
      <c r="C16" s="24" t="str">
        <f>PROPER(TRIM(Raw_Data!C18))</f>
        <v>Self Help Book</v>
      </c>
      <c r="D16" s="24" t="str">
        <f>TRIM(Raw_Data!D18)</f>
        <v>Books</v>
      </c>
      <c r="E16" s="26">
        <f>Raw_Data!E18</f>
        <v>399</v>
      </c>
      <c r="F16" s="24">
        <f>Raw_Data!F18</f>
        <v>1</v>
      </c>
      <c r="G16" s="26">
        <f t="shared" si="0"/>
        <v>399</v>
      </c>
      <c r="H16" s="24" t="str">
        <f>PROPER(TRIM(Raw_Data!H18))</f>
        <v>Nikhil Kulkarni</v>
      </c>
      <c r="I16" s="24" t="str">
        <f>PROPER(TRIM(Raw_Data!I18))</f>
        <v>Pune</v>
      </c>
      <c r="J16" s="24" t="str">
        <f>TRIM(Raw_Data!J18)</f>
        <v>Credit Card</v>
      </c>
      <c r="K16" s="24" t="str">
        <f>PROPER(TRIM(Raw_Data!K18))</f>
        <v>Delivered</v>
      </c>
      <c r="L16" s="24" t="str">
        <f t="shared" si="1"/>
        <v>Sep</v>
      </c>
      <c r="M16" s="24" t="str">
        <f t="shared" si="2"/>
        <v>Wed</v>
      </c>
      <c r="N16" s="24" t="str">
        <f t="shared" si="3"/>
        <v>Delivered</v>
      </c>
      <c r="O16" s="24" t="str">
        <f>IF(ROUND(G16-Raw_Data!G18,2)=0,"OK","Corrected")</f>
        <v>OK</v>
      </c>
    </row>
    <row r="17" spans="1:15" x14ac:dyDescent="0.3">
      <c r="A17" s="24" t="str">
        <f>TRIM(Raw_Data!A19)</f>
        <v>AMZ-10260</v>
      </c>
      <c r="B17" s="25">
        <f>Raw_Data!B19</f>
        <v>46267</v>
      </c>
      <c r="C17" s="24" t="str">
        <f>PROPER(TRIM(Raw_Data!C19))</f>
        <v>Wireless Earbuds</v>
      </c>
      <c r="D17" s="24" t="str">
        <f>TRIM(Raw_Data!D19)</f>
        <v>Electronics</v>
      </c>
      <c r="E17" s="26">
        <f>Raw_Data!E19</f>
        <v>2499</v>
      </c>
      <c r="F17" s="24">
        <f>Raw_Data!F19</f>
        <v>2</v>
      </c>
      <c r="G17" s="26">
        <f t="shared" si="0"/>
        <v>4998</v>
      </c>
      <c r="H17" s="24" t="str">
        <f>PROPER(TRIM(Raw_Data!H19))</f>
        <v>Nikhil Patel</v>
      </c>
      <c r="I17" s="24" t="str">
        <f>PROPER(TRIM(Raw_Data!I19))</f>
        <v>Hyderabad</v>
      </c>
      <c r="J17" s="24" t="str">
        <f>TRIM(Raw_Data!J19)</f>
        <v>UPI</v>
      </c>
      <c r="K17" s="24" t="str">
        <f>PROPER(TRIM(Raw_Data!K19))</f>
        <v>Delivered</v>
      </c>
      <c r="L17" s="24" t="str">
        <f t="shared" si="1"/>
        <v>Sep</v>
      </c>
      <c r="M17" s="24" t="str">
        <f t="shared" si="2"/>
        <v>Wed</v>
      </c>
      <c r="N17" s="24" t="str">
        <f t="shared" si="3"/>
        <v>Delivered</v>
      </c>
      <c r="O17" s="24" t="str">
        <f>IF(ROUND(G17-Raw_Data!G19,2)=0,"OK","Corrected")</f>
        <v>OK</v>
      </c>
    </row>
    <row r="18" spans="1:15" x14ac:dyDescent="0.3">
      <c r="A18" s="24" t="str">
        <f>TRIM(Raw_Data!A20)</f>
        <v>AMZ-10269</v>
      </c>
      <c r="B18" s="25">
        <f>Raw_Data!B20</f>
        <v>46267</v>
      </c>
      <c r="C18" s="24" t="str">
        <f>PROPER(TRIM(Raw_Data!C20))</f>
        <v>Denim Jeans</v>
      </c>
      <c r="D18" s="24" t="str">
        <f>TRIM(Raw_Data!D20)</f>
        <v>Clothing</v>
      </c>
      <c r="E18" s="26">
        <f>Raw_Data!E20</f>
        <v>1799</v>
      </c>
      <c r="F18" s="24">
        <f>Raw_Data!F20</f>
        <v>1</v>
      </c>
      <c r="G18" s="26">
        <f t="shared" si="0"/>
        <v>1799</v>
      </c>
      <c r="H18" s="24" t="str">
        <f>PROPER(TRIM(Raw_Data!H20))</f>
        <v>Tanvi Joshi</v>
      </c>
      <c r="I18" s="24" t="str">
        <f>PROPER(TRIM(Raw_Data!I20))</f>
        <v>Bangalore</v>
      </c>
      <c r="J18" s="24" t="str">
        <f>TRIM(Raw_Data!J20)</f>
        <v>UPI</v>
      </c>
      <c r="K18" s="24" t="str">
        <f>PROPER(TRIM(Raw_Data!K20))</f>
        <v>Delivered</v>
      </c>
      <c r="L18" s="24" t="str">
        <f t="shared" si="1"/>
        <v>Sep</v>
      </c>
      <c r="M18" s="24" t="str">
        <f t="shared" si="2"/>
        <v>Wed</v>
      </c>
      <c r="N18" s="24" t="str">
        <f t="shared" si="3"/>
        <v>Delivered</v>
      </c>
      <c r="O18" s="24" t="str">
        <f>IF(ROUND(G18-Raw_Data!G20,2)=0,"OK","Corrected")</f>
        <v>OK</v>
      </c>
    </row>
    <row r="19" spans="1:15" x14ac:dyDescent="0.3">
      <c r="A19" s="24" t="str">
        <f>TRIM(Raw_Data!A21)</f>
        <v>AMZ-10272</v>
      </c>
      <c r="B19" s="25">
        <f>Raw_Data!B21</f>
        <v>46267</v>
      </c>
      <c r="C19" s="24" t="str">
        <f>PROPER(TRIM(Raw_Data!C21))</f>
        <v>Running Shoes</v>
      </c>
      <c r="D19" s="24" t="str">
        <f>TRIM(Raw_Data!D21)</f>
        <v>Footwear</v>
      </c>
      <c r="E19" s="26">
        <f>Raw_Data!E21</f>
        <v>3299</v>
      </c>
      <c r="F19" s="24">
        <f>Raw_Data!F21</f>
        <v>1</v>
      </c>
      <c r="G19" s="26">
        <f t="shared" si="0"/>
        <v>3299</v>
      </c>
      <c r="H19" s="24" t="str">
        <f>PROPER(TRIM(Raw_Data!H21))</f>
        <v>Priya Iyer</v>
      </c>
      <c r="I19" s="24" t="str">
        <f>PROPER(TRIM(Raw_Data!I21))</f>
        <v>Delhi</v>
      </c>
      <c r="J19" s="24" t="str">
        <f>TRIM(Raw_Data!J21)</f>
        <v>Debit Card</v>
      </c>
      <c r="K19" s="24" t="str">
        <f>PROPER(TRIM(Raw_Data!K21))</f>
        <v>Delivered</v>
      </c>
      <c r="L19" s="24" t="str">
        <f t="shared" si="1"/>
        <v>Sep</v>
      </c>
      <c r="M19" s="24" t="str">
        <f t="shared" si="2"/>
        <v>Wed</v>
      </c>
      <c r="N19" s="24" t="str">
        <f t="shared" si="3"/>
        <v>Delivered</v>
      </c>
      <c r="O19" s="24" t="str">
        <f>IF(ROUND(G19-Raw_Data!G21,2)=0,"OK","Corrected")</f>
        <v>OK</v>
      </c>
    </row>
    <row r="20" spans="1:15" x14ac:dyDescent="0.3">
      <c r="A20" s="24" t="str">
        <f>TRIM(Raw_Data!A22)</f>
        <v>AMZ-10291</v>
      </c>
      <c r="B20" s="25">
        <f>Raw_Data!B22</f>
        <v>46267</v>
      </c>
      <c r="C20" s="24" t="str">
        <f>PROPER(TRIM(Raw_Data!C22))</f>
        <v>Mixer Grinder</v>
      </c>
      <c r="D20" s="24" t="str">
        <f>TRIM(Raw_Data!D22)</f>
        <v>Home &amp; Kitchen</v>
      </c>
      <c r="E20" s="26">
        <f>Raw_Data!E22</f>
        <v>3499</v>
      </c>
      <c r="F20" s="24">
        <f>Raw_Data!F22</f>
        <v>2</v>
      </c>
      <c r="G20" s="26">
        <f t="shared" si="0"/>
        <v>6998</v>
      </c>
      <c r="H20" s="24" t="str">
        <f>PROPER(TRIM(Raw_Data!H22))</f>
        <v>Priya Iyer</v>
      </c>
      <c r="I20" s="24" t="str">
        <f>PROPER(TRIM(Raw_Data!I22))</f>
        <v>Delhi</v>
      </c>
      <c r="J20" s="24" t="str">
        <f>TRIM(Raw_Data!J22)</f>
        <v>Cash On Delivery</v>
      </c>
      <c r="K20" s="24" t="str">
        <f>PROPER(TRIM(Raw_Data!K22))</f>
        <v>Delivered</v>
      </c>
      <c r="L20" s="24" t="str">
        <f t="shared" si="1"/>
        <v>Sep</v>
      </c>
      <c r="M20" s="24" t="str">
        <f t="shared" si="2"/>
        <v>Wed</v>
      </c>
      <c r="N20" s="24" t="str">
        <f t="shared" si="3"/>
        <v>Delivered</v>
      </c>
      <c r="O20" s="24" t="str">
        <f>IF(ROUND(G20-Raw_Data!G22,2)=0,"OK","Corrected")</f>
        <v>OK</v>
      </c>
    </row>
    <row r="21" spans="1:15" x14ac:dyDescent="0.3">
      <c r="A21" s="24" t="str">
        <f>TRIM(Raw_Data!A23)</f>
        <v>AMZ-10319</v>
      </c>
      <c r="B21" s="25">
        <f>Raw_Data!B23</f>
        <v>46267</v>
      </c>
      <c r="C21" s="24" t="str">
        <f>PROPER(TRIM(Raw_Data!C23))</f>
        <v>Sandals</v>
      </c>
      <c r="D21" s="24" t="str">
        <f>TRIM(Raw_Data!D23)</f>
        <v>Footwear</v>
      </c>
      <c r="E21" s="26">
        <f>Raw_Data!E23</f>
        <v>899</v>
      </c>
      <c r="F21" s="24">
        <f>Raw_Data!F23</f>
        <v>2</v>
      </c>
      <c r="G21" s="26">
        <f t="shared" si="0"/>
        <v>1798</v>
      </c>
      <c r="H21" s="24" t="str">
        <f>PROPER(TRIM(Raw_Data!H23))</f>
        <v>Suresh Das</v>
      </c>
      <c r="I21" s="24" t="str">
        <f>PROPER(TRIM(Raw_Data!I23))</f>
        <v>Bangalore</v>
      </c>
      <c r="J21" s="24" t="str">
        <f>TRIM(Raw_Data!J23)</f>
        <v>Debit Card</v>
      </c>
      <c r="K21" s="24" t="str">
        <f>PROPER(TRIM(Raw_Data!K23))</f>
        <v>Delivered</v>
      </c>
      <c r="L21" s="24" t="str">
        <f t="shared" si="1"/>
        <v>Sep</v>
      </c>
      <c r="M21" s="24" t="str">
        <f t="shared" si="2"/>
        <v>Wed</v>
      </c>
      <c r="N21" s="24" t="str">
        <f t="shared" si="3"/>
        <v>Delivered</v>
      </c>
      <c r="O21" s="24" t="str">
        <f>IF(ROUND(G21-Raw_Data!G23,2)=0,"OK","Corrected")</f>
        <v>OK</v>
      </c>
    </row>
    <row r="22" spans="1:15" x14ac:dyDescent="0.3">
      <c r="A22" s="24" t="str">
        <f>TRIM(Raw_Data!A24)</f>
        <v>AMZ-10329</v>
      </c>
      <c r="B22" s="25">
        <f>Raw_Data!B24</f>
        <v>46267</v>
      </c>
      <c r="C22" s="24" t="str">
        <f>PROPER(TRIM(Raw_Data!C24))</f>
        <v>Water Bottle</v>
      </c>
      <c r="D22" s="24" t="str">
        <f>TRIM(Raw_Data!D24)</f>
        <v>Home &amp; Kitchen</v>
      </c>
      <c r="E22" s="26">
        <f>Raw_Data!E24</f>
        <v>499</v>
      </c>
      <c r="F22" s="24">
        <f>Raw_Data!F24</f>
        <v>1</v>
      </c>
      <c r="G22" s="26">
        <f t="shared" si="0"/>
        <v>499</v>
      </c>
      <c r="H22" s="24" t="str">
        <f>PROPER(TRIM(Raw_Data!H24))</f>
        <v>Ishaan Gupta</v>
      </c>
      <c r="I22" s="24" t="str">
        <f>PROPER(TRIM(Raw_Data!I24))</f>
        <v>Lucknow</v>
      </c>
      <c r="J22" s="24" t="str">
        <f>TRIM(Raw_Data!J24)</f>
        <v>Debit Card</v>
      </c>
      <c r="K22" s="24" t="str">
        <f>PROPER(TRIM(Raw_Data!K24))</f>
        <v>Delivered</v>
      </c>
      <c r="L22" s="24" t="str">
        <f t="shared" si="1"/>
        <v>Sep</v>
      </c>
      <c r="M22" s="24" t="str">
        <f t="shared" si="2"/>
        <v>Wed</v>
      </c>
      <c r="N22" s="24" t="str">
        <f t="shared" si="3"/>
        <v>Delivered</v>
      </c>
      <c r="O22" s="24" t="str">
        <f>IF(ROUND(G22-Raw_Data!G24,2)=0,"OK","Corrected")</f>
        <v>OK</v>
      </c>
    </row>
    <row r="23" spans="1:15" x14ac:dyDescent="0.3">
      <c r="A23" s="24" t="str">
        <f>TRIM(Raw_Data!A25)</f>
        <v>AMZ-10353</v>
      </c>
      <c r="B23" s="25">
        <f>Raw_Data!B25</f>
        <v>46267</v>
      </c>
      <c r="C23" s="24" t="str">
        <f>PROPER(TRIM(Raw_Data!C25))</f>
        <v>Wireless Earbuds</v>
      </c>
      <c r="D23" s="24" t="str">
        <f>TRIM(Raw_Data!D25)</f>
        <v>Electronics</v>
      </c>
      <c r="E23" s="26">
        <f>Raw_Data!E25</f>
        <v>2499</v>
      </c>
      <c r="F23" s="24">
        <f>Raw_Data!F25</f>
        <v>1</v>
      </c>
      <c r="G23" s="26">
        <f t="shared" si="0"/>
        <v>2499</v>
      </c>
      <c r="H23" s="24" t="str">
        <f>PROPER(TRIM(Raw_Data!H25))</f>
        <v>Tanvi Verma</v>
      </c>
      <c r="I23" s="24" t="str">
        <f>PROPER(TRIM(Raw_Data!I25))</f>
        <v>Kolkata</v>
      </c>
      <c r="J23" s="24" t="str">
        <f>TRIM(Raw_Data!J25)</f>
        <v>Credit Card</v>
      </c>
      <c r="K23" s="24" t="str">
        <f>PROPER(TRIM(Raw_Data!K25))</f>
        <v>Delivered</v>
      </c>
      <c r="L23" s="24" t="str">
        <f t="shared" si="1"/>
        <v>Sep</v>
      </c>
      <c r="M23" s="24" t="str">
        <f t="shared" si="2"/>
        <v>Wed</v>
      </c>
      <c r="N23" s="24" t="str">
        <f t="shared" si="3"/>
        <v>Delivered</v>
      </c>
      <c r="O23" s="24" t="str">
        <f>IF(ROUND(G23-Raw_Data!G25,2)=0,"OK","Corrected")</f>
        <v>OK</v>
      </c>
    </row>
    <row r="24" spans="1:15" x14ac:dyDescent="0.3">
      <c r="A24" s="24" t="str">
        <f>TRIM(Raw_Data!A26)</f>
        <v>AMZ-10398</v>
      </c>
      <c r="B24" s="25">
        <f>Raw_Data!B26</f>
        <v>46267</v>
      </c>
      <c r="C24" s="24" t="str">
        <f>PROPER(TRIM(Raw_Data!C26))</f>
        <v>Water Bottle</v>
      </c>
      <c r="D24" s="24" t="str">
        <f>TRIM(Raw_Data!D26)</f>
        <v>Home &amp; Kitchen</v>
      </c>
      <c r="E24" s="26">
        <f>Raw_Data!E26</f>
        <v>499</v>
      </c>
      <c r="F24" s="24">
        <f>Raw_Data!F26</f>
        <v>3</v>
      </c>
      <c r="G24" s="26">
        <f t="shared" si="0"/>
        <v>1497</v>
      </c>
      <c r="H24" s="24" t="str">
        <f>PROPER(TRIM(Raw_Data!H26))</f>
        <v>Tanvi Gupta</v>
      </c>
      <c r="I24" s="24" t="str">
        <f>PROPER(TRIM(Raw_Data!I26))</f>
        <v>Hyderabad</v>
      </c>
      <c r="J24" s="24" t="str">
        <f>TRIM(Raw_Data!J26)</f>
        <v>UPI</v>
      </c>
      <c r="K24" s="24" t="str">
        <f>PROPER(TRIM(Raw_Data!K26))</f>
        <v>Delivered</v>
      </c>
      <c r="L24" s="24" t="str">
        <f t="shared" si="1"/>
        <v>Sep</v>
      </c>
      <c r="M24" s="24" t="str">
        <f t="shared" si="2"/>
        <v>Wed</v>
      </c>
      <c r="N24" s="24" t="str">
        <f t="shared" si="3"/>
        <v>Delivered</v>
      </c>
      <c r="O24" s="24" t="str">
        <f>IF(ROUND(G24-Raw_Data!G26,2)=0,"OK","Corrected")</f>
        <v>OK</v>
      </c>
    </row>
    <row r="25" spans="1:15" x14ac:dyDescent="0.3">
      <c r="A25" s="24" t="str">
        <f>TRIM(Raw_Data!A27)</f>
        <v>AMZ-10452</v>
      </c>
      <c r="B25" s="25">
        <f>Raw_Data!B27</f>
        <v>46267</v>
      </c>
      <c r="C25" s="24" t="str">
        <f>PROPER(TRIM(Raw_Data!C27))</f>
        <v>Bluetooth Speaker</v>
      </c>
      <c r="D25" s="24" t="str">
        <f>TRIM(Raw_Data!D27)</f>
        <v>Electronics</v>
      </c>
      <c r="E25" s="26">
        <f>Raw_Data!E27</f>
        <v>1999</v>
      </c>
      <c r="F25" s="24">
        <f>Raw_Data!F27</f>
        <v>2</v>
      </c>
      <c r="G25" s="26">
        <f t="shared" si="0"/>
        <v>3998</v>
      </c>
      <c r="H25" s="24" t="str">
        <f>PROPER(TRIM(Raw_Data!H27))</f>
        <v>Priya Patel</v>
      </c>
      <c r="I25" s="24" t="str">
        <f>PROPER(TRIM(Raw_Data!I27))</f>
        <v>Pune</v>
      </c>
      <c r="J25" s="24" t="str">
        <f>TRIM(Raw_Data!J27)</f>
        <v>Cash On Delivery</v>
      </c>
      <c r="K25" s="24" t="str">
        <f>PROPER(TRIM(Raw_Data!K27))</f>
        <v>Shipped</v>
      </c>
      <c r="L25" s="24" t="str">
        <f t="shared" si="1"/>
        <v>Sep</v>
      </c>
      <c r="M25" s="24" t="str">
        <f t="shared" si="2"/>
        <v>Wed</v>
      </c>
      <c r="N25" s="24" t="str">
        <f t="shared" si="3"/>
        <v>Pending</v>
      </c>
      <c r="O25" s="24" t="str">
        <f>IF(ROUND(G25-Raw_Data!G27,2)=0,"OK","Corrected")</f>
        <v>OK</v>
      </c>
    </row>
    <row r="26" spans="1:15" x14ac:dyDescent="0.3">
      <c r="A26" s="24" t="str">
        <f>TRIM(Raw_Data!A28)</f>
        <v>AMZ-10455</v>
      </c>
      <c r="B26" s="25">
        <f>Raw_Data!B28</f>
        <v>46267</v>
      </c>
      <c r="C26" s="24" t="str">
        <f>PROPER(TRIM(Raw_Data!C28))</f>
        <v>Wireless Earbuds</v>
      </c>
      <c r="D26" s="24" t="str">
        <f>TRIM(Raw_Data!D28)</f>
        <v>Electronics</v>
      </c>
      <c r="E26" s="26">
        <f>Raw_Data!E28</f>
        <v>2499</v>
      </c>
      <c r="F26" s="24">
        <f>Raw_Data!F28</f>
        <v>2</v>
      </c>
      <c r="G26" s="26">
        <f t="shared" si="0"/>
        <v>4998</v>
      </c>
      <c r="H26" s="24" t="str">
        <f>PROPER(TRIM(Raw_Data!H28))</f>
        <v>Kavya Gupta</v>
      </c>
      <c r="I26" s="24" t="str">
        <f>PROPER(TRIM(Raw_Data!I28))</f>
        <v>Hyderabad</v>
      </c>
      <c r="J26" s="24" t="str">
        <f>TRIM(Raw_Data!J28)</f>
        <v>UPI</v>
      </c>
      <c r="K26" s="24" t="str">
        <f>PROPER(TRIM(Raw_Data!K28))</f>
        <v>Delivered</v>
      </c>
      <c r="L26" s="24" t="str">
        <f t="shared" si="1"/>
        <v>Sep</v>
      </c>
      <c r="M26" s="24" t="str">
        <f t="shared" si="2"/>
        <v>Wed</v>
      </c>
      <c r="N26" s="24" t="str">
        <f t="shared" si="3"/>
        <v>Delivered</v>
      </c>
      <c r="O26" s="24" t="str">
        <f>IF(ROUND(G26-Raw_Data!G28,2)=0,"OK","Corrected")</f>
        <v>OK</v>
      </c>
    </row>
    <row r="27" spans="1:15" x14ac:dyDescent="0.3">
      <c r="A27" s="24" t="str">
        <f>TRIM(Raw_Data!A29)</f>
        <v>AMZ-10474</v>
      </c>
      <c r="B27" s="25">
        <f>Raw_Data!B29</f>
        <v>46267</v>
      </c>
      <c r="C27" s="24" t="str">
        <f>PROPER(TRIM(Raw_Data!C29))</f>
        <v>Self Help Book</v>
      </c>
      <c r="D27" s="24" t="str">
        <f>TRIM(Raw_Data!D29)</f>
        <v>Books</v>
      </c>
      <c r="E27" s="26">
        <f>Raw_Data!E29</f>
        <v>399</v>
      </c>
      <c r="F27" s="24">
        <f>Raw_Data!F29</f>
        <v>3</v>
      </c>
      <c r="G27" s="26">
        <f t="shared" si="0"/>
        <v>1197</v>
      </c>
      <c r="H27" s="24" t="str">
        <f>PROPER(TRIM(Raw_Data!H29))</f>
        <v>Tanvi Gupta</v>
      </c>
      <c r="I27" s="24" t="str">
        <f>PROPER(TRIM(Raw_Data!I29))</f>
        <v>Hyderabad</v>
      </c>
      <c r="J27" s="24" t="str">
        <f>TRIM(Raw_Data!J29)</f>
        <v>UPI</v>
      </c>
      <c r="K27" s="24" t="str">
        <f>PROPER(TRIM(Raw_Data!K29))</f>
        <v>Delivered</v>
      </c>
      <c r="L27" s="24" t="str">
        <f t="shared" si="1"/>
        <v>Sep</v>
      </c>
      <c r="M27" s="24" t="str">
        <f t="shared" si="2"/>
        <v>Wed</v>
      </c>
      <c r="N27" s="24" t="str">
        <f t="shared" si="3"/>
        <v>Delivered</v>
      </c>
      <c r="O27" s="24" t="str">
        <f>IF(ROUND(G27-Raw_Data!G29,2)=0,"OK","Corrected")</f>
        <v>OK</v>
      </c>
    </row>
    <row r="28" spans="1:15" x14ac:dyDescent="0.3">
      <c r="A28" s="24" t="str">
        <f>TRIM(Raw_Data!A30)</f>
        <v>AMZ-10478</v>
      </c>
      <c r="B28" s="25">
        <f>Raw_Data!B30</f>
        <v>46267</v>
      </c>
      <c r="C28" s="24" t="str">
        <f>PROPER(TRIM(Raw_Data!C30))</f>
        <v>Running Shoes</v>
      </c>
      <c r="D28" s="24" t="str">
        <f>TRIM(Raw_Data!D30)</f>
        <v>Footwear</v>
      </c>
      <c r="E28" s="26">
        <f>Raw_Data!E30</f>
        <v>3299</v>
      </c>
      <c r="F28" s="24">
        <f>Raw_Data!F30</f>
        <v>3</v>
      </c>
      <c r="G28" s="26">
        <f t="shared" si="0"/>
        <v>9897</v>
      </c>
      <c r="H28" s="24" t="str">
        <f>PROPER(TRIM(Raw_Data!H30))</f>
        <v>Arjun Das</v>
      </c>
      <c r="I28" s="24" t="str">
        <f>PROPER(TRIM(Raw_Data!I30))</f>
        <v>Mumbai</v>
      </c>
      <c r="J28" s="24" t="str">
        <f>TRIM(Raw_Data!J30)</f>
        <v>Credit Card</v>
      </c>
      <c r="K28" s="24" t="str">
        <f>PROPER(TRIM(Raw_Data!K30))</f>
        <v>Delivered</v>
      </c>
      <c r="L28" s="24" t="str">
        <f t="shared" si="1"/>
        <v>Sep</v>
      </c>
      <c r="M28" s="24" t="str">
        <f t="shared" si="2"/>
        <v>Wed</v>
      </c>
      <c r="N28" s="24" t="str">
        <f t="shared" si="3"/>
        <v>Delivered</v>
      </c>
      <c r="O28" s="24" t="str">
        <f>IF(ROUND(G28-Raw_Data!G30,2)=0,"OK","Corrected")</f>
        <v>OK</v>
      </c>
    </row>
    <row r="29" spans="1:15" x14ac:dyDescent="0.3">
      <c r="A29" s="24" t="str">
        <f>TRIM(Raw_Data!A31)</f>
        <v>AMZ-10001</v>
      </c>
      <c r="B29" s="25">
        <f>Raw_Data!B31</f>
        <v>46268</v>
      </c>
      <c r="C29" s="24" t="str">
        <f>PROPER(TRIM(Raw_Data!C31))</f>
        <v>Wireless Earbuds</v>
      </c>
      <c r="D29" s="24" t="str">
        <f>TRIM(Raw_Data!D31)</f>
        <v>Electronics</v>
      </c>
      <c r="E29" s="26">
        <f>Raw_Data!E31</f>
        <v>2499</v>
      </c>
      <c r="F29" s="24">
        <f>Raw_Data!F31</f>
        <v>3</v>
      </c>
      <c r="G29" s="26">
        <f t="shared" si="0"/>
        <v>7497</v>
      </c>
      <c r="H29" s="24" t="str">
        <f>PROPER(TRIM(Raw_Data!H31))</f>
        <v>Aditya Sharma</v>
      </c>
      <c r="I29" s="24" t="str">
        <f>PROPER(TRIM(Raw_Data!I31))</f>
        <v>Ahmedabad</v>
      </c>
      <c r="J29" s="24" t="str">
        <f>TRIM(Raw_Data!J31)</f>
        <v>Debit Card</v>
      </c>
      <c r="K29" s="24" t="str">
        <f>PROPER(TRIM(Raw_Data!K31))</f>
        <v>Cancelled</v>
      </c>
      <c r="L29" s="24" t="str">
        <f t="shared" si="1"/>
        <v>Sep</v>
      </c>
      <c r="M29" s="24" t="str">
        <f t="shared" si="2"/>
        <v>Thu</v>
      </c>
      <c r="N29" s="24" t="str">
        <f t="shared" si="3"/>
        <v>Cancelled</v>
      </c>
      <c r="O29" s="24" t="str">
        <f>IF(ROUND(G29-Raw_Data!G31,2)=0,"OK","Corrected")</f>
        <v>OK</v>
      </c>
    </row>
    <row r="30" spans="1:15" x14ac:dyDescent="0.3">
      <c r="A30" s="24" t="str">
        <f>TRIM(Raw_Data!A32)</f>
        <v>AMZ-10033</v>
      </c>
      <c r="B30" s="25">
        <f>Raw_Data!B32</f>
        <v>46268</v>
      </c>
      <c r="C30" s="24" t="str">
        <f>PROPER(TRIM(Raw_Data!C32))</f>
        <v>Water Bottle</v>
      </c>
      <c r="D30" s="24" t="str">
        <f>TRIM(Raw_Data!D32)</f>
        <v>Home &amp; Kitchen</v>
      </c>
      <c r="E30" s="26">
        <f>Raw_Data!E32</f>
        <v>499</v>
      </c>
      <c r="F30" s="24">
        <f>Raw_Data!F32</f>
        <v>1</v>
      </c>
      <c r="G30" s="26">
        <f t="shared" si="0"/>
        <v>499</v>
      </c>
      <c r="H30" s="24" t="str">
        <f>PROPER(TRIM(Raw_Data!H32))</f>
        <v>Anjali Mehta</v>
      </c>
      <c r="I30" s="24" t="str">
        <f>PROPER(TRIM(Raw_Data!I32))</f>
        <v>Mumbai</v>
      </c>
      <c r="J30" s="24" t="str">
        <f>TRIM(Raw_Data!J32)</f>
        <v>Net Banking</v>
      </c>
      <c r="K30" s="24" t="str">
        <f>PROPER(TRIM(Raw_Data!K32))</f>
        <v>Delivered</v>
      </c>
      <c r="L30" s="24" t="str">
        <f t="shared" si="1"/>
        <v>Sep</v>
      </c>
      <c r="M30" s="24" t="str">
        <f t="shared" si="2"/>
        <v>Thu</v>
      </c>
      <c r="N30" s="24" t="str">
        <f t="shared" si="3"/>
        <v>Delivered</v>
      </c>
      <c r="O30" s="24" t="str">
        <f>IF(ROUND(G30-Raw_Data!G32,2)=0,"OK","Corrected")</f>
        <v>OK</v>
      </c>
    </row>
    <row r="31" spans="1:15" x14ac:dyDescent="0.3">
      <c r="A31" s="24" t="str">
        <f>TRIM(Raw_Data!A33)</f>
        <v>AMZ-10055</v>
      </c>
      <c r="B31" s="25">
        <f>Raw_Data!B33</f>
        <v>46268</v>
      </c>
      <c r="C31" s="24" t="str">
        <f>PROPER(TRIM(Raw_Data!C33))</f>
        <v>Sandals</v>
      </c>
      <c r="D31" s="24" t="str">
        <f>TRIM(Raw_Data!D33)</f>
        <v>Footwear</v>
      </c>
      <c r="E31" s="26">
        <f>Raw_Data!E33</f>
        <v>899</v>
      </c>
      <c r="F31" s="24">
        <f>Raw_Data!F33</f>
        <v>2</v>
      </c>
      <c r="G31" s="26">
        <f t="shared" si="0"/>
        <v>1798</v>
      </c>
      <c r="H31" s="24" t="str">
        <f>PROPER(TRIM(Raw_Data!H33))</f>
        <v>Meera Mehta</v>
      </c>
      <c r="I31" s="24" t="str">
        <f>PROPER(TRIM(Raw_Data!I33))</f>
        <v>Kolkata</v>
      </c>
      <c r="J31" s="24" t="str">
        <f>TRIM(Raw_Data!J33)</f>
        <v>Cash On Delivery</v>
      </c>
      <c r="K31" s="24" t="str">
        <f>PROPER(TRIM(Raw_Data!K33))</f>
        <v>Delivered</v>
      </c>
      <c r="L31" s="24" t="str">
        <f t="shared" si="1"/>
        <v>Sep</v>
      </c>
      <c r="M31" s="24" t="str">
        <f t="shared" si="2"/>
        <v>Thu</v>
      </c>
      <c r="N31" s="24" t="str">
        <f t="shared" si="3"/>
        <v>Delivered</v>
      </c>
      <c r="O31" s="24" t="str">
        <f>IF(ROUND(G31-Raw_Data!G33,2)=0,"OK","Corrected")</f>
        <v>OK</v>
      </c>
    </row>
    <row r="32" spans="1:15" x14ac:dyDescent="0.3">
      <c r="A32" s="24" t="str">
        <f>TRIM(Raw_Data!A34)</f>
        <v>AMZ-10066</v>
      </c>
      <c r="B32" s="25">
        <f>Raw_Data!B34</f>
        <v>46268</v>
      </c>
      <c r="C32" s="24" t="str">
        <f>PROPER(TRIM(Raw_Data!C34))</f>
        <v>Power Bank</v>
      </c>
      <c r="D32" s="24" t="str">
        <f>TRIM(Raw_Data!D34)</f>
        <v>Electronics</v>
      </c>
      <c r="E32" s="26">
        <f>Raw_Data!E34</f>
        <v>1299</v>
      </c>
      <c r="F32" s="24">
        <f>Raw_Data!F34</f>
        <v>1</v>
      </c>
      <c r="G32" s="26">
        <f t="shared" si="0"/>
        <v>1299</v>
      </c>
      <c r="H32" s="24" t="str">
        <f>PROPER(TRIM(Raw_Data!H34))</f>
        <v>Priya Chopra</v>
      </c>
      <c r="I32" s="24" t="str">
        <f>PROPER(TRIM(Raw_Data!I34))</f>
        <v>Bangalore</v>
      </c>
      <c r="J32" s="24" t="str">
        <f>TRIM(Raw_Data!J34)</f>
        <v>UPI</v>
      </c>
      <c r="K32" s="24" t="str">
        <f>PROPER(TRIM(Raw_Data!K34))</f>
        <v>Delivered</v>
      </c>
      <c r="L32" s="24" t="str">
        <f t="shared" si="1"/>
        <v>Sep</v>
      </c>
      <c r="M32" s="24" t="str">
        <f t="shared" si="2"/>
        <v>Thu</v>
      </c>
      <c r="N32" s="24" t="str">
        <f t="shared" si="3"/>
        <v>Delivered</v>
      </c>
      <c r="O32" s="24" t="str">
        <f>IF(ROUND(G32-Raw_Data!G34,2)=0,"OK","Corrected")</f>
        <v>OK</v>
      </c>
    </row>
    <row r="33" spans="1:15" x14ac:dyDescent="0.3">
      <c r="A33" s="24" t="str">
        <f>TRIM(Raw_Data!A35)</f>
        <v>AMZ-10127</v>
      </c>
      <c r="B33" s="25">
        <f>Raw_Data!B35</f>
        <v>46268</v>
      </c>
      <c r="C33" s="24" t="str">
        <f>PROPER(TRIM(Raw_Data!C35))</f>
        <v>Power Bank</v>
      </c>
      <c r="D33" s="24" t="str">
        <f>TRIM(Raw_Data!D35)</f>
        <v>Electronics</v>
      </c>
      <c r="E33" s="26">
        <f>Raw_Data!E35</f>
        <v>1299</v>
      </c>
      <c r="F33" s="24">
        <f>Raw_Data!F35</f>
        <v>1</v>
      </c>
      <c r="G33" s="26">
        <f t="shared" si="0"/>
        <v>1299</v>
      </c>
      <c r="H33" s="24" t="str">
        <f>PROPER(TRIM(Raw_Data!H35))</f>
        <v>Neha Patel</v>
      </c>
      <c r="I33" s="24" t="str">
        <f>PROPER(TRIM(Raw_Data!I35))</f>
        <v>Bangalore</v>
      </c>
      <c r="J33" s="24" t="str">
        <f>TRIM(Raw_Data!J35)</f>
        <v>UPI</v>
      </c>
      <c r="K33" s="24" t="str">
        <f>PROPER(TRIM(Raw_Data!K35))</f>
        <v>Cancelled</v>
      </c>
      <c r="L33" s="24" t="str">
        <f t="shared" si="1"/>
        <v>Sep</v>
      </c>
      <c r="M33" s="24" t="str">
        <f t="shared" si="2"/>
        <v>Thu</v>
      </c>
      <c r="N33" s="24" t="str">
        <f t="shared" si="3"/>
        <v>Cancelled</v>
      </c>
      <c r="O33" s="24" t="str">
        <f>IF(ROUND(G33-Raw_Data!G35,2)=0,"OK","Corrected")</f>
        <v>OK</v>
      </c>
    </row>
    <row r="34" spans="1:15" x14ac:dyDescent="0.3">
      <c r="A34" s="24" t="str">
        <f>TRIM(Raw_Data!A36)</f>
        <v>AMZ-10218</v>
      </c>
      <c r="B34" s="25">
        <f>Raw_Data!B36</f>
        <v>46268</v>
      </c>
      <c r="C34" s="24" t="str">
        <f>PROPER(TRIM(Raw_Data!C36))</f>
        <v>Denim Jeans</v>
      </c>
      <c r="D34" s="24" t="str">
        <f>TRIM(Raw_Data!D36)</f>
        <v>Clothing</v>
      </c>
      <c r="E34" s="26">
        <f>Raw_Data!E36</f>
        <v>1799</v>
      </c>
      <c r="F34" s="24">
        <f>Raw_Data!F36</f>
        <v>1</v>
      </c>
      <c r="G34" s="26">
        <f t="shared" si="0"/>
        <v>1799</v>
      </c>
      <c r="H34" s="24" t="str">
        <f>PROPER(TRIM(Raw_Data!H36))</f>
        <v>Nikhil Kulkarni</v>
      </c>
      <c r="I34" s="24" t="str">
        <f>PROPER(TRIM(Raw_Data!I36))</f>
        <v>Pune</v>
      </c>
      <c r="J34" s="24" t="str">
        <f>TRIM(Raw_Data!J36)</f>
        <v>Credit Card</v>
      </c>
      <c r="K34" s="24" t="str">
        <f>PROPER(TRIM(Raw_Data!K36))</f>
        <v>Delivered</v>
      </c>
      <c r="L34" s="24" t="str">
        <f t="shared" si="1"/>
        <v>Sep</v>
      </c>
      <c r="M34" s="24" t="str">
        <f t="shared" si="2"/>
        <v>Thu</v>
      </c>
      <c r="N34" s="24" t="str">
        <f t="shared" si="3"/>
        <v>Delivered</v>
      </c>
      <c r="O34" s="24" t="str">
        <f>IF(ROUND(G34-Raw_Data!G36,2)=0,"OK","Corrected")</f>
        <v>OK</v>
      </c>
    </row>
    <row r="35" spans="1:15" x14ac:dyDescent="0.3">
      <c r="A35" s="24" t="str">
        <f>TRIM(Raw_Data!A37)</f>
        <v>AMZ-10220</v>
      </c>
      <c r="B35" s="25">
        <f>Raw_Data!B37</f>
        <v>46268</v>
      </c>
      <c r="C35" s="24" t="str">
        <f>PROPER(TRIM(Raw_Data!C37))</f>
        <v>Wireless Earbuds</v>
      </c>
      <c r="D35" s="24" t="str">
        <f>TRIM(Raw_Data!D37)</f>
        <v>Electronics</v>
      </c>
      <c r="E35" s="26">
        <f>Raw_Data!E37</f>
        <v>2499</v>
      </c>
      <c r="F35" s="24">
        <f>Raw_Data!F37</f>
        <v>1</v>
      </c>
      <c r="G35" s="26">
        <f t="shared" si="0"/>
        <v>2499</v>
      </c>
      <c r="H35" s="24" t="str">
        <f>PROPER(TRIM(Raw_Data!H37))</f>
        <v>Kavya Gupta</v>
      </c>
      <c r="I35" s="24" t="str">
        <f>PROPER(TRIM(Raw_Data!I37))</f>
        <v>Hyderabad</v>
      </c>
      <c r="J35" s="24" t="str">
        <f>TRIM(Raw_Data!J37)</f>
        <v>Debit Card</v>
      </c>
      <c r="K35" s="24" t="str">
        <f>PROPER(TRIM(Raw_Data!K37))</f>
        <v>Shipped</v>
      </c>
      <c r="L35" s="24" t="str">
        <f t="shared" si="1"/>
        <v>Sep</v>
      </c>
      <c r="M35" s="24" t="str">
        <f t="shared" si="2"/>
        <v>Thu</v>
      </c>
      <c r="N35" s="24" t="str">
        <f t="shared" si="3"/>
        <v>Pending</v>
      </c>
      <c r="O35" s="24" t="str">
        <f>IF(ROUND(G35-Raw_Data!G37,2)=0,"OK","Corrected")</f>
        <v>OK</v>
      </c>
    </row>
    <row r="36" spans="1:15" x14ac:dyDescent="0.3">
      <c r="A36" s="24" t="str">
        <f>TRIM(Raw_Data!A38)</f>
        <v>AMZ-10273</v>
      </c>
      <c r="B36" s="25">
        <f>Raw_Data!B38</f>
        <v>46268</v>
      </c>
      <c r="C36" s="24" t="str">
        <f>PROPER(TRIM(Raw_Data!C38))</f>
        <v>Denim Jeans</v>
      </c>
      <c r="D36" s="24" t="str">
        <f>TRIM(Raw_Data!D38)</f>
        <v>Clothing</v>
      </c>
      <c r="E36" s="26">
        <f>Raw_Data!E38</f>
        <v>1799</v>
      </c>
      <c r="F36" s="24">
        <f>Raw_Data!F38</f>
        <v>1</v>
      </c>
      <c r="G36" s="26">
        <f t="shared" si="0"/>
        <v>1799</v>
      </c>
      <c r="H36" s="24" t="str">
        <f>PROPER(TRIM(Raw_Data!H38))</f>
        <v>Tanvi Gupta</v>
      </c>
      <c r="I36" s="24" t="str">
        <f>PROPER(TRIM(Raw_Data!I38))</f>
        <v>Hyderabad</v>
      </c>
      <c r="J36" s="24" t="str">
        <f>TRIM(Raw_Data!J38)</f>
        <v>Credit Card</v>
      </c>
      <c r="K36" s="24" t="str">
        <f>PROPER(TRIM(Raw_Data!K38))</f>
        <v>Delivered</v>
      </c>
      <c r="L36" s="24" t="str">
        <f t="shared" si="1"/>
        <v>Sep</v>
      </c>
      <c r="M36" s="24" t="str">
        <f t="shared" si="2"/>
        <v>Thu</v>
      </c>
      <c r="N36" s="24" t="str">
        <f t="shared" si="3"/>
        <v>Delivered</v>
      </c>
      <c r="O36" s="24" t="str">
        <f>IF(ROUND(G36-Raw_Data!G38,2)=0,"OK","Corrected")</f>
        <v>OK</v>
      </c>
    </row>
    <row r="37" spans="1:15" x14ac:dyDescent="0.3">
      <c r="A37" s="24" t="str">
        <f>TRIM(Raw_Data!A39)</f>
        <v>AMZ-10284</v>
      </c>
      <c r="B37" s="25">
        <f>Raw_Data!B39</f>
        <v>46268</v>
      </c>
      <c r="C37" s="24" t="str">
        <f>PROPER(TRIM(Raw_Data!C39))</f>
        <v>Wireless Earbuds</v>
      </c>
      <c r="D37" s="24" t="str">
        <f>TRIM(Raw_Data!D39)</f>
        <v>Electronics</v>
      </c>
      <c r="E37" s="26">
        <f>Raw_Data!E39</f>
        <v>2499</v>
      </c>
      <c r="F37" s="24">
        <f>Raw_Data!F39</f>
        <v>4</v>
      </c>
      <c r="G37" s="26">
        <f t="shared" si="0"/>
        <v>9996</v>
      </c>
      <c r="H37" s="24" t="str">
        <f>PROPER(TRIM(Raw_Data!H39))</f>
        <v>Rajesh Reddy</v>
      </c>
      <c r="I37" s="24" t="str">
        <f>PROPER(TRIM(Raw_Data!I39))</f>
        <v>Delhi</v>
      </c>
      <c r="J37" s="24" t="str">
        <f>TRIM(Raw_Data!J39)</f>
        <v>Credit Card</v>
      </c>
      <c r="K37" s="24" t="str">
        <f>PROPER(TRIM(Raw_Data!K39))</f>
        <v>Delivered</v>
      </c>
      <c r="L37" s="24" t="str">
        <f t="shared" si="1"/>
        <v>Sep</v>
      </c>
      <c r="M37" s="24" t="str">
        <f t="shared" si="2"/>
        <v>Thu</v>
      </c>
      <c r="N37" s="24" t="str">
        <f t="shared" si="3"/>
        <v>Delivered</v>
      </c>
      <c r="O37" s="24" t="str">
        <f>IF(ROUND(G37-Raw_Data!G39,2)=0,"OK","Corrected")</f>
        <v>OK</v>
      </c>
    </row>
    <row r="38" spans="1:15" x14ac:dyDescent="0.3">
      <c r="A38" s="24" t="str">
        <f>TRIM(Raw_Data!A40)</f>
        <v>AMZ-10288</v>
      </c>
      <c r="B38" s="25">
        <f>Raw_Data!B40</f>
        <v>46268</v>
      </c>
      <c r="C38" s="24" t="str">
        <f>PROPER(TRIM(Raw_Data!C40))</f>
        <v>Denim Jeans</v>
      </c>
      <c r="D38" s="24" t="str">
        <f>TRIM(Raw_Data!D40)</f>
        <v>Clothing</v>
      </c>
      <c r="E38" s="26">
        <f>Raw_Data!E40</f>
        <v>1799</v>
      </c>
      <c r="F38" s="24">
        <f>Raw_Data!F40</f>
        <v>3</v>
      </c>
      <c r="G38" s="26">
        <f t="shared" si="0"/>
        <v>5397</v>
      </c>
      <c r="H38" s="24" t="str">
        <f>PROPER(TRIM(Raw_Data!H40))</f>
        <v>Vikram Nair</v>
      </c>
      <c r="I38" s="24" t="str">
        <f>PROPER(TRIM(Raw_Data!I40))</f>
        <v>Mumbai</v>
      </c>
      <c r="J38" s="24" t="str">
        <f>TRIM(Raw_Data!J40)</f>
        <v>UPI</v>
      </c>
      <c r="K38" s="24" t="str">
        <f>PROPER(TRIM(Raw_Data!K40))</f>
        <v>Delivered</v>
      </c>
      <c r="L38" s="24" t="str">
        <f t="shared" si="1"/>
        <v>Sep</v>
      </c>
      <c r="M38" s="24" t="str">
        <f t="shared" si="2"/>
        <v>Thu</v>
      </c>
      <c r="N38" s="24" t="str">
        <f t="shared" si="3"/>
        <v>Delivered</v>
      </c>
      <c r="O38" s="24" t="str">
        <f>IF(ROUND(G38-Raw_Data!G40,2)=0,"OK","Corrected")</f>
        <v>OK</v>
      </c>
    </row>
    <row r="39" spans="1:15" x14ac:dyDescent="0.3">
      <c r="A39" s="24" t="str">
        <f>TRIM(Raw_Data!A41)</f>
        <v>AMZ-10333</v>
      </c>
      <c r="B39" s="25">
        <f>Raw_Data!B41</f>
        <v>46268</v>
      </c>
      <c r="C39" s="24" t="str">
        <f>PROPER(TRIM(Raw_Data!C41))</f>
        <v>Power Bank</v>
      </c>
      <c r="D39" s="24" t="str">
        <f>TRIM(Raw_Data!D41)</f>
        <v>Electronics</v>
      </c>
      <c r="E39" s="26">
        <f>Raw_Data!E41</f>
        <v>1299</v>
      </c>
      <c r="F39" s="24">
        <f>Raw_Data!F41</f>
        <v>1</v>
      </c>
      <c r="G39" s="26">
        <f t="shared" si="0"/>
        <v>1299</v>
      </c>
      <c r="H39" s="24" t="str">
        <f>PROPER(TRIM(Raw_Data!H41))</f>
        <v>Tanvi Iyer</v>
      </c>
      <c r="I39" s="24" t="str">
        <f>PROPER(TRIM(Raw_Data!I41))</f>
        <v>Kolkata</v>
      </c>
      <c r="J39" s="24" t="str">
        <f>TRIM(Raw_Data!J41)</f>
        <v>Debit Card</v>
      </c>
      <c r="K39" s="24" t="str">
        <f>PROPER(TRIM(Raw_Data!K41))</f>
        <v>Delivered</v>
      </c>
      <c r="L39" s="24" t="str">
        <f t="shared" si="1"/>
        <v>Sep</v>
      </c>
      <c r="M39" s="24" t="str">
        <f t="shared" si="2"/>
        <v>Thu</v>
      </c>
      <c r="N39" s="24" t="str">
        <f t="shared" si="3"/>
        <v>Delivered</v>
      </c>
      <c r="O39" s="24" t="str">
        <f>IF(ROUND(G39-Raw_Data!G41,2)=0,"OK","Corrected")</f>
        <v>OK</v>
      </c>
    </row>
    <row r="40" spans="1:15" x14ac:dyDescent="0.3">
      <c r="A40" s="24" t="str">
        <f>TRIM(Raw_Data!A42)</f>
        <v>AMZ-10396</v>
      </c>
      <c r="B40" s="25">
        <f>Raw_Data!B42</f>
        <v>46268</v>
      </c>
      <c r="C40" s="24" t="str">
        <f>PROPER(TRIM(Raw_Data!C42))</f>
        <v>Self Help Book</v>
      </c>
      <c r="D40" s="24" t="str">
        <f>TRIM(Raw_Data!D42)</f>
        <v>Books</v>
      </c>
      <c r="E40" s="26">
        <f>Raw_Data!E42</f>
        <v>399</v>
      </c>
      <c r="F40" s="24">
        <f>Raw_Data!F42</f>
        <v>1</v>
      </c>
      <c r="G40" s="26">
        <f t="shared" si="0"/>
        <v>399</v>
      </c>
      <c r="H40" s="24" t="str">
        <f>PROPER(TRIM(Raw_Data!H42))</f>
        <v>Neha Mehta</v>
      </c>
      <c r="I40" s="24" t="str">
        <f>PROPER(TRIM(Raw_Data!I42))</f>
        <v>Lucknow</v>
      </c>
      <c r="J40" s="24" t="str">
        <f>TRIM(Raw_Data!J42)</f>
        <v>UPI</v>
      </c>
      <c r="K40" s="24" t="str">
        <f>PROPER(TRIM(Raw_Data!K42))</f>
        <v>Delivered</v>
      </c>
      <c r="L40" s="24" t="str">
        <f t="shared" si="1"/>
        <v>Sep</v>
      </c>
      <c r="M40" s="24" t="str">
        <f t="shared" si="2"/>
        <v>Thu</v>
      </c>
      <c r="N40" s="24" t="str">
        <f t="shared" si="3"/>
        <v>Delivered</v>
      </c>
      <c r="O40" s="24" t="str">
        <f>IF(ROUND(G40-Raw_Data!G42,2)=0,"OK","Corrected")</f>
        <v>OK</v>
      </c>
    </row>
    <row r="41" spans="1:15" x14ac:dyDescent="0.3">
      <c r="A41" s="24" t="str">
        <f>TRIM(Raw_Data!A43)</f>
        <v>AMZ-10410</v>
      </c>
      <c r="B41" s="25">
        <f>Raw_Data!B43</f>
        <v>46268</v>
      </c>
      <c r="C41" s="24" t="str">
        <f>PROPER(TRIM(Raw_Data!C43))</f>
        <v>Bluetooth Speaker</v>
      </c>
      <c r="D41" s="24" t="str">
        <f>TRIM(Raw_Data!D43)</f>
        <v>Electronics</v>
      </c>
      <c r="E41" s="26">
        <f>Raw_Data!E43</f>
        <v>1999</v>
      </c>
      <c r="F41" s="24">
        <f>Raw_Data!F43</f>
        <v>1</v>
      </c>
      <c r="G41" s="26">
        <f t="shared" si="0"/>
        <v>1999</v>
      </c>
      <c r="H41" s="24" t="str">
        <f>PROPER(TRIM(Raw_Data!H43))</f>
        <v>Neha Kulkarni</v>
      </c>
      <c r="I41" s="24" t="str">
        <f>PROPER(TRIM(Raw_Data!I43))</f>
        <v>Delhi</v>
      </c>
      <c r="J41" s="24" t="str">
        <f>TRIM(Raw_Data!J43)</f>
        <v>Cash On Delivery</v>
      </c>
      <c r="K41" s="24" t="str">
        <f>PROPER(TRIM(Raw_Data!K43))</f>
        <v>Delivered</v>
      </c>
      <c r="L41" s="24" t="str">
        <f t="shared" si="1"/>
        <v>Sep</v>
      </c>
      <c r="M41" s="24" t="str">
        <f t="shared" si="2"/>
        <v>Thu</v>
      </c>
      <c r="N41" s="24" t="str">
        <f t="shared" si="3"/>
        <v>Delivered</v>
      </c>
      <c r="O41" s="24" t="str">
        <f>IF(ROUND(G41-Raw_Data!G43,2)=0,"OK","Corrected")</f>
        <v>OK</v>
      </c>
    </row>
    <row r="42" spans="1:15" x14ac:dyDescent="0.3">
      <c r="A42" s="24" t="str">
        <f>TRIM(Raw_Data!A44)</f>
        <v>AMZ-10460</v>
      </c>
      <c r="B42" s="25">
        <f>Raw_Data!B44</f>
        <v>46268</v>
      </c>
      <c r="C42" s="24" t="str">
        <f>PROPER(TRIM(Raw_Data!C44))</f>
        <v>Casual Sneakers</v>
      </c>
      <c r="D42" s="24" t="str">
        <f>TRIM(Raw_Data!D44)</f>
        <v>Footwear</v>
      </c>
      <c r="E42" s="26">
        <f>Raw_Data!E44</f>
        <v>2199</v>
      </c>
      <c r="F42" s="24">
        <f>Raw_Data!F44</f>
        <v>1</v>
      </c>
      <c r="G42" s="26">
        <f t="shared" si="0"/>
        <v>2199</v>
      </c>
      <c r="H42" s="24" t="str">
        <f>PROPER(TRIM(Raw_Data!H44))</f>
        <v>Vikram Iyer</v>
      </c>
      <c r="I42" s="24" t="str">
        <f>PROPER(TRIM(Raw_Data!I44))</f>
        <v>Bangalore</v>
      </c>
      <c r="J42" s="24" t="str">
        <f>TRIM(Raw_Data!J44)</f>
        <v>Credit Card</v>
      </c>
      <c r="K42" s="24" t="str">
        <f>PROPER(TRIM(Raw_Data!K44))</f>
        <v>Shipped</v>
      </c>
      <c r="L42" s="24" t="str">
        <f t="shared" si="1"/>
        <v>Sep</v>
      </c>
      <c r="M42" s="24" t="str">
        <f t="shared" si="2"/>
        <v>Thu</v>
      </c>
      <c r="N42" s="24" t="str">
        <f t="shared" si="3"/>
        <v>Pending</v>
      </c>
      <c r="O42" s="24" t="str">
        <f>IF(ROUND(G42-Raw_Data!G44,2)=0,"OK","Corrected")</f>
        <v>OK</v>
      </c>
    </row>
    <row r="43" spans="1:15" x14ac:dyDescent="0.3">
      <c r="A43" s="24" t="str">
        <f>TRIM(Raw_Data!A45)</f>
        <v>AMZ-10477</v>
      </c>
      <c r="B43" s="25">
        <f>Raw_Data!B45</f>
        <v>46268</v>
      </c>
      <c r="C43" s="24" t="str">
        <f>PROPER(TRIM(Raw_Data!C45))</f>
        <v>Bluetooth Speaker</v>
      </c>
      <c r="D43" s="24" t="str">
        <f>TRIM(Raw_Data!D45)</f>
        <v>Electronics</v>
      </c>
      <c r="E43" s="26">
        <f>Raw_Data!E45</f>
        <v>1999</v>
      </c>
      <c r="F43" s="24">
        <f>Raw_Data!F45</f>
        <v>3</v>
      </c>
      <c r="G43" s="26">
        <f t="shared" si="0"/>
        <v>5997</v>
      </c>
      <c r="H43" s="24" t="str">
        <f>PROPER(TRIM(Raw_Data!H45))</f>
        <v>Karan Joshi</v>
      </c>
      <c r="I43" s="24" t="str">
        <f>PROPER(TRIM(Raw_Data!I45))</f>
        <v>Hyderabad</v>
      </c>
      <c r="J43" s="24" t="str">
        <f>TRIM(Raw_Data!J45)</f>
        <v>Debit Card</v>
      </c>
      <c r="K43" s="24" t="str">
        <f>PROPER(TRIM(Raw_Data!K45))</f>
        <v>Delivered</v>
      </c>
      <c r="L43" s="24" t="str">
        <f t="shared" si="1"/>
        <v>Sep</v>
      </c>
      <c r="M43" s="24" t="str">
        <f t="shared" si="2"/>
        <v>Thu</v>
      </c>
      <c r="N43" s="24" t="str">
        <f t="shared" si="3"/>
        <v>Delivered</v>
      </c>
      <c r="O43" s="24" t="str">
        <f>IF(ROUND(G43-Raw_Data!G45,2)=0,"OK","Corrected")</f>
        <v>OK</v>
      </c>
    </row>
    <row r="44" spans="1:15" x14ac:dyDescent="0.3">
      <c r="A44" s="24" t="str">
        <f>TRIM(Raw_Data!A46)</f>
        <v>AMZ-10479</v>
      </c>
      <c r="B44" s="25">
        <f>Raw_Data!B46</f>
        <v>46268</v>
      </c>
      <c r="C44" s="24" t="str">
        <f>PROPER(TRIM(Raw_Data!C46))</f>
        <v>Water Bottle</v>
      </c>
      <c r="D44" s="24" t="str">
        <f>TRIM(Raw_Data!D46)</f>
        <v>Home &amp; Kitchen</v>
      </c>
      <c r="E44" s="26">
        <f>Raw_Data!E46</f>
        <v>499</v>
      </c>
      <c r="F44" s="24">
        <f>Raw_Data!F46</f>
        <v>1</v>
      </c>
      <c r="G44" s="26">
        <f t="shared" si="0"/>
        <v>499</v>
      </c>
      <c r="H44" s="24" t="str">
        <f>PROPER(TRIM(Raw_Data!H46))</f>
        <v>Rajesh Reddy</v>
      </c>
      <c r="I44" s="24" t="str">
        <f>PROPER(TRIM(Raw_Data!I46))</f>
        <v>Delhi</v>
      </c>
      <c r="J44" s="24" t="str">
        <f>TRIM(Raw_Data!J46)</f>
        <v>Debit Card</v>
      </c>
      <c r="K44" s="24" t="str">
        <f>PROPER(TRIM(Raw_Data!K46))</f>
        <v>Delivered</v>
      </c>
      <c r="L44" s="24" t="str">
        <f t="shared" si="1"/>
        <v>Sep</v>
      </c>
      <c r="M44" s="24" t="str">
        <f t="shared" si="2"/>
        <v>Thu</v>
      </c>
      <c r="N44" s="24" t="str">
        <f t="shared" si="3"/>
        <v>Delivered</v>
      </c>
      <c r="O44" s="24" t="str">
        <f>IF(ROUND(G44-Raw_Data!G46,2)=0,"OK","Corrected")</f>
        <v>OK</v>
      </c>
    </row>
    <row r="45" spans="1:15" x14ac:dyDescent="0.3">
      <c r="A45" s="24" t="str">
        <f>TRIM(Raw_Data!A47)</f>
        <v>AMZ-10497</v>
      </c>
      <c r="B45" s="25">
        <f>Raw_Data!B47</f>
        <v>46268</v>
      </c>
      <c r="C45" s="24" t="str">
        <f>PROPER(TRIM(Raw_Data!C47))</f>
        <v>Water Bottle</v>
      </c>
      <c r="D45" s="24" t="str">
        <f>TRIM(Raw_Data!D47)</f>
        <v>Home &amp; Kitchen</v>
      </c>
      <c r="E45" s="26">
        <f>Raw_Data!E47</f>
        <v>499</v>
      </c>
      <c r="F45" s="24">
        <f>Raw_Data!F47</f>
        <v>1</v>
      </c>
      <c r="G45" s="26">
        <f t="shared" si="0"/>
        <v>499</v>
      </c>
      <c r="H45" s="24" t="str">
        <f>PROPER(TRIM(Raw_Data!H47))</f>
        <v>Kavya Patel</v>
      </c>
      <c r="I45" s="24" t="str">
        <f>PROPER(TRIM(Raw_Data!I47))</f>
        <v>Hyderabad</v>
      </c>
      <c r="J45" s="24" t="str">
        <f>TRIM(Raw_Data!J47)</f>
        <v>Credit Card</v>
      </c>
      <c r="K45" s="24" t="str">
        <f>PROPER(TRIM(Raw_Data!K47))</f>
        <v>Delivered</v>
      </c>
      <c r="L45" s="24" t="str">
        <f t="shared" si="1"/>
        <v>Sep</v>
      </c>
      <c r="M45" s="24" t="str">
        <f t="shared" si="2"/>
        <v>Thu</v>
      </c>
      <c r="N45" s="24" t="str">
        <f t="shared" si="3"/>
        <v>Delivered</v>
      </c>
      <c r="O45" s="24" t="str">
        <f>IF(ROUND(G45-Raw_Data!G47,2)=0,"OK","Corrected")</f>
        <v>OK</v>
      </c>
    </row>
    <row r="46" spans="1:15" x14ac:dyDescent="0.3">
      <c r="A46" s="24" t="str">
        <f>TRIM(Raw_Data!A48)</f>
        <v>AMZ-10005</v>
      </c>
      <c r="B46" s="25">
        <f>Raw_Data!B48</f>
        <v>46269</v>
      </c>
      <c r="C46" s="24" t="str">
        <f>PROPER(TRIM(Raw_Data!C48))</f>
        <v>Running Shoes</v>
      </c>
      <c r="D46" s="24" t="str">
        <f>TRIM(Raw_Data!D48)</f>
        <v>Footwear</v>
      </c>
      <c r="E46" s="26">
        <f>Raw_Data!E48</f>
        <v>3299</v>
      </c>
      <c r="F46" s="24">
        <f>Raw_Data!F48</f>
        <v>3</v>
      </c>
      <c r="G46" s="26">
        <f t="shared" si="0"/>
        <v>9897</v>
      </c>
      <c r="H46" s="24" t="str">
        <f>PROPER(TRIM(Raw_Data!H48))</f>
        <v>Nikhil Kulkarni</v>
      </c>
      <c r="I46" s="24" t="str">
        <f>PROPER(TRIM(Raw_Data!I48))</f>
        <v>Pune</v>
      </c>
      <c r="J46" s="24" t="str">
        <f>TRIM(Raw_Data!J48)</f>
        <v>UPI</v>
      </c>
      <c r="K46" s="24" t="str">
        <f>PROPER(TRIM(Raw_Data!K48))</f>
        <v>Delivered</v>
      </c>
      <c r="L46" s="24" t="str">
        <f t="shared" si="1"/>
        <v>Sep</v>
      </c>
      <c r="M46" s="24" t="str">
        <f t="shared" si="2"/>
        <v>Fri</v>
      </c>
      <c r="N46" s="24" t="str">
        <f t="shared" si="3"/>
        <v>Delivered</v>
      </c>
      <c r="O46" s="24" t="str">
        <f>IF(ROUND(G46-Raw_Data!G48,2)=0,"OK","Corrected")</f>
        <v>OK</v>
      </c>
    </row>
    <row r="47" spans="1:15" x14ac:dyDescent="0.3">
      <c r="A47" s="24" t="str">
        <f>TRIM(Raw_Data!A49)</f>
        <v>AMZ-10028</v>
      </c>
      <c r="B47" s="25">
        <f>Raw_Data!B49</f>
        <v>46269</v>
      </c>
      <c r="C47" s="24" t="str">
        <f>PROPER(TRIM(Raw_Data!C49))</f>
        <v>Self Help Book</v>
      </c>
      <c r="D47" s="24" t="str">
        <f>TRIM(Raw_Data!D49)</f>
        <v>Books</v>
      </c>
      <c r="E47" s="26">
        <f>Raw_Data!E49</f>
        <v>399</v>
      </c>
      <c r="F47" s="24">
        <f>Raw_Data!F49</f>
        <v>1</v>
      </c>
      <c r="G47" s="26">
        <f t="shared" si="0"/>
        <v>399</v>
      </c>
      <c r="H47" s="24" t="str">
        <f>PROPER(TRIM(Raw_Data!H49))</f>
        <v>Riya Reddy</v>
      </c>
      <c r="I47" s="24" t="str">
        <f>PROPER(TRIM(Raw_Data!I49))</f>
        <v>Hyderabad</v>
      </c>
      <c r="J47" s="24" t="str">
        <f>TRIM(Raw_Data!J49)</f>
        <v>Net Banking</v>
      </c>
      <c r="K47" s="24" t="str">
        <f>PROPER(TRIM(Raw_Data!K49))</f>
        <v>Delivered</v>
      </c>
      <c r="L47" s="24" t="str">
        <f t="shared" si="1"/>
        <v>Sep</v>
      </c>
      <c r="M47" s="24" t="str">
        <f t="shared" si="2"/>
        <v>Fri</v>
      </c>
      <c r="N47" s="24" t="str">
        <f t="shared" si="3"/>
        <v>Delivered</v>
      </c>
      <c r="O47" s="24" t="str">
        <f>IF(ROUND(G47-Raw_Data!G49,2)=0,"OK","Corrected")</f>
        <v>OK</v>
      </c>
    </row>
    <row r="48" spans="1:15" x14ac:dyDescent="0.3">
      <c r="A48" s="24" t="str">
        <f>TRIM(Raw_Data!A50)</f>
        <v>AMZ-10036</v>
      </c>
      <c r="B48" s="25">
        <f>Raw_Data!B50</f>
        <v>46269</v>
      </c>
      <c r="C48" s="24" t="str">
        <f>PROPER(TRIM(Raw_Data!C50))</f>
        <v>Running Shoes</v>
      </c>
      <c r="D48" s="24" t="str">
        <f>TRIM(Raw_Data!D50)</f>
        <v>Footwear</v>
      </c>
      <c r="E48" s="26">
        <f>Raw_Data!E50</f>
        <v>3299</v>
      </c>
      <c r="F48" s="24">
        <f>Raw_Data!F50</f>
        <v>2</v>
      </c>
      <c r="G48" s="26">
        <f t="shared" si="0"/>
        <v>6598</v>
      </c>
      <c r="H48" s="24" t="str">
        <f>PROPER(TRIM(Raw_Data!H50))</f>
        <v>Riya Reddy</v>
      </c>
      <c r="I48" s="24" t="str">
        <f>PROPER(TRIM(Raw_Data!I50))</f>
        <v>Hyderabad</v>
      </c>
      <c r="J48" s="24" t="str">
        <f>TRIM(Raw_Data!J50)</f>
        <v>UPI</v>
      </c>
      <c r="K48" s="24" t="str">
        <f>PROPER(TRIM(Raw_Data!K50))</f>
        <v>Delivered</v>
      </c>
      <c r="L48" s="24" t="str">
        <f t="shared" si="1"/>
        <v>Sep</v>
      </c>
      <c r="M48" s="24" t="str">
        <f t="shared" si="2"/>
        <v>Fri</v>
      </c>
      <c r="N48" s="24" t="str">
        <f t="shared" si="3"/>
        <v>Delivered</v>
      </c>
      <c r="O48" s="24" t="str">
        <f>IF(ROUND(G48-Raw_Data!G50,2)=0,"OK","Corrected")</f>
        <v>OK</v>
      </c>
    </row>
    <row r="49" spans="1:15" x14ac:dyDescent="0.3">
      <c r="A49" s="24" t="str">
        <f>TRIM(Raw_Data!A51)</f>
        <v>AMZ-10040</v>
      </c>
      <c r="B49" s="25">
        <f>Raw_Data!B51</f>
        <v>46269</v>
      </c>
      <c r="C49" s="24" t="str">
        <f>PROPER(TRIM(Raw_Data!C51))</f>
        <v>Power Bank</v>
      </c>
      <c r="D49" s="24" t="str">
        <f>TRIM(Raw_Data!D51)</f>
        <v>Electronics</v>
      </c>
      <c r="E49" s="26">
        <f>Raw_Data!E51</f>
        <v>1299</v>
      </c>
      <c r="F49" s="24">
        <f>Raw_Data!F51</f>
        <v>1</v>
      </c>
      <c r="G49" s="26">
        <f t="shared" si="0"/>
        <v>1299</v>
      </c>
      <c r="H49" s="24" t="str">
        <f>PROPER(TRIM(Raw_Data!H51))</f>
        <v>Sneha Reddy</v>
      </c>
      <c r="I49" s="24" t="str">
        <f>PROPER(TRIM(Raw_Data!I51))</f>
        <v>Pune</v>
      </c>
      <c r="J49" s="24" t="str">
        <f>TRIM(Raw_Data!J51)</f>
        <v>Credit Card</v>
      </c>
      <c r="K49" s="24" t="str">
        <f>PROPER(TRIM(Raw_Data!K51))</f>
        <v>Delivered</v>
      </c>
      <c r="L49" s="24" t="str">
        <f t="shared" si="1"/>
        <v>Sep</v>
      </c>
      <c r="M49" s="24" t="str">
        <f t="shared" si="2"/>
        <v>Fri</v>
      </c>
      <c r="N49" s="24" t="str">
        <f t="shared" si="3"/>
        <v>Delivered</v>
      </c>
      <c r="O49" s="24" t="str">
        <f>IF(ROUND(G49-Raw_Data!G51,2)=0,"OK","Corrected")</f>
        <v>OK</v>
      </c>
    </row>
    <row r="50" spans="1:15" x14ac:dyDescent="0.3">
      <c r="A50" s="24" t="str">
        <f>TRIM(Raw_Data!A52)</f>
        <v>AMZ-10044</v>
      </c>
      <c r="B50" s="25">
        <f>Raw_Data!B52</f>
        <v>46269</v>
      </c>
      <c r="C50" s="24" t="str">
        <f>PROPER(TRIM(Raw_Data!C52))</f>
        <v>Cotton T-Shirt</v>
      </c>
      <c r="D50" s="24" t="str">
        <f>TRIM(Raw_Data!D52)</f>
        <v>Clothing</v>
      </c>
      <c r="E50" s="26">
        <f>Raw_Data!E52</f>
        <v>599</v>
      </c>
      <c r="F50" s="24">
        <f>Raw_Data!F52</f>
        <v>1</v>
      </c>
      <c r="G50" s="26">
        <f t="shared" si="0"/>
        <v>599</v>
      </c>
      <c r="H50" s="24" t="str">
        <f>PROPER(TRIM(Raw_Data!H52))</f>
        <v>Aarav Joshi</v>
      </c>
      <c r="I50" s="24" t="str">
        <f>PROPER(TRIM(Raw_Data!I52))</f>
        <v>Pune</v>
      </c>
      <c r="J50" s="24" t="str">
        <f>TRIM(Raw_Data!J52)</f>
        <v>Cash On Delivery</v>
      </c>
      <c r="K50" s="24" t="str">
        <f>PROPER(TRIM(Raw_Data!K52))</f>
        <v>Delivered</v>
      </c>
      <c r="L50" s="24" t="str">
        <f t="shared" si="1"/>
        <v>Sep</v>
      </c>
      <c r="M50" s="24" t="str">
        <f t="shared" si="2"/>
        <v>Fri</v>
      </c>
      <c r="N50" s="24" t="str">
        <f t="shared" si="3"/>
        <v>Delivered</v>
      </c>
      <c r="O50" s="24" t="str">
        <f>IF(ROUND(G50-Raw_Data!G52,2)=0,"OK","Corrected")</f>
        <v>OK</v>
      </c>
    </row>
    <row r="51" spans="1:15" x14ac:dyDescent="0.3">
      <c r="A51" s="24" t="str">
        <f>TRIM(Raw_Data!A53)</f>
        <v>AMZ-10045</v>
      </c>
      <c r="B51" s="25">
        <f>Raw_Data!B53</f>
        <v>46269</v>
      </c>
      <c r="C51" s="24" t="str">
        <f>PROPER(TRIM(Raw_Data!C53))</f>
        <v>Mixer Grinder</v>
      </c>
      <c r="D51" s="24" t="str">
        <f>TRIM(Raw_Data!D53)</f>
        <v>Home &amp; Kitchen</v>
      </c>
      <c r="E51" s="26">
        <f>Raw_Data!E53</f>
        <v>3499</v>
      </c>
      <c r="F51" s="24">
        <f>Raw_Data!F53</f>
        <v>4</v>
      </c>
      <c r="G51" s="26">
        <f t="shared" si="0"/>
        <v>13996</v>
      </c>
      <c r="H51" s="24" t="str">
        <f>PROPER(TRIM(Raw_Data!H53))</f>
        <v>Aditya Iyer</v>
      </c>
      <c r="I51" s="24" t="str">
        <f>PROPER(TRIM(Raw_Data!I53))</f>
        <v>Mumbai</v>
      </c>
      <c r="J51" s="24" t="str">
        <f>TRIM(Raw_Data!J53)</f>
        <v>Credit Card</v>
      </c>
      <c r="K51" s="24" t="str">
        <f>PROPER(TRIM(Raw_Data!K53))</f>
        <v>Delivered</v>
      </c>
      <c r="L51" s="24" t="str">
        <f t="shared" si="1"/>
        <v>Sep</v>
      </c>
      <c r="M51" s="24" t="str">
        <f t="shared" si="2"/>
        <v>Fri</v>
      </c>
      <c r="N51" s="24" t="str">
        <f t="shared" si="3"/>
        <v>Delivered</v>
      </c>
      <c r="O51" s="24" t="str">
        <f>IF(ROUND(G51-Raw_Data!G53,2)=0,"OK","Corrected")</f>
        <v>OK</v>
      </c>
    </row>
    <row r="52" spans="1:15" x14ac:dyDescent="0.3">
      <c r="A52" s="24" t="str">
        <f>TRIM(Raw_Data!A54)</f>
        <v>AMZ-10046</v>
      </c>
      <c r="B52" s="25">
        <f>Raw_Data!B54</f>
        <v>46269</v>
      </c>
      <c r="C52" s="24" t="str">
        <f>PROPER(TRIM(Raw_Data!C54))</f>
        <v>Self Help Book</v>
      </c>
      <c r="D52" s="24" t="str">
        <f>TRIM(Raw_Data!D54)</f>
        <v>Books</v>
      </c>
      <c r="E52" s="26">
        <f>Raw_Data!E54</f>
        <v>399</v>
      </c>
      <c r="F52" s="24">
        <f>Raw_Data!F54</f>
        <v>1</v>
      </c>
      <c r="G52" s="26">
        <f t="shared" si="0"/>
        <v>399</v>
      </c>
      <c r="H52" s="24" t="str">
        <f>PROPER(TRIM(Raw_Data!H54))</f>
        <v>Pooja Gupta</v>
      </c>
      <c r="I52" s="24" t="str">
        <f>PROPER(TRIM(Raw_Data!I54))</f>
        <v>Bangalore</v>
      </c>
      <c r="J52" s="24" t="str">
        <f>TRIM(Raw_Data!J54)</f>
        <v>Credit Card</v>
      </c>
      <c r="K52" s="24" t="str">
        <f>PROPER(TRIM(Raw_Data!K54))</f>
        <v>Delivered</v>
      </c>
      <c r="L52" s="24" t="str">
        <f t="shared" si="1"/>
        <v>Sep</v>
      </c>
      <c r="M52" s="24" t="str">
        <f t="shared" si="2"/>
        <v>Fri</v>
      </c>
      <c r="N52" s="24" t="str">
        <f t="shared" si="3"/>
        <v>Delivered</v>
      </c>
      <c r="O52" s="24" t="str">
        <f>IF(ROUND(G52-Raw_Data!G54,2)=0,"OK","Corrected")</f>
        <v>OK</v>
      </c>
    </row>
    <row r="53" spans="1:15" x14ac:dyDescent="0.3">
      <c r="A53" s="24" t="str">
        <f>TRIM(Raw_Data!A55)</f>
        <v>AMZ-10081</v>
      </c>
      <c r="B53" s="25">
        <f>Raw_Data!B55</f>
        <v>46269</v>
      </c>
      <c r="C53" s="24" t="str">
        <f>PROPER(TRIM(Raw_Data!C55))</f>
        <v>Self Help Book</v>
      </c>
      <c r="D53" s="24" t="str">
        <f>TRIM(Raw_Data!D55)</f>
        <v>Books</v>
      </c>
      <c r="E53" s="26">
        <f>Raw_Data!E55</f>
        <v>399</v>
      </c>
      <c r="F53" s="24">
        <f>Raw_Data!F55</f>
        <v>1</v>
      </c>
      <c r="G53" s="26">
        <f t="shared" si="0"/>
        <v>399</v>
      </c>
      <c r="H53" s="24" t="str">
        <f>PROPER(TRIM(Raw_Data!H55))</f>
        <v>Kavya Patel</v>
      </c>
      <c r="I53" s="24" t="str">
        <f>PROPER(TRIM(Raw_Data!I55))</f>
        <v>Hyderabad</v>
      </c>
      <c r="J53" s="24" t="str">
        <f>TRIM(Raw_Data!J55)</f>
        <v>Credit Card</v>
      </c>
      <c r="K53" s="24" t="str">
        <f>PROPER(TRIM(Raw_Data!K55))</f>
        <v>Pending</v>
      </c>
      <c r="L53" s="24" t="str">
        <f t="shared" si="1"/>
        <v>Sep</v>
      </c>
      <c r="M53" s="24" t="str">
        <f t="shared" si="2"/>
        <v>Fri</v>
      </c>
      <c r="N53" s="24" t="str">
        <f t="shared" si="3"/>
        <v>Pending</v>
      </c>
      <c r="O53" s="24" t="str">
        <f>IF(ROUND(G53-Raw_Data!G55,2)=0,"OK","Corrected")</f>
        <v>OK</v>
      </c>
    </row>
    <row r="54" spans="1:15" x14ac:dyDescent="0.3">
      <c r="A54" s="24" t="str">
        <f>TRIM(Raw_Data!A56)</f>
        <v>AMZ-10083</v>
      </c>
      <c r="B54" s="25">
        <f>Raw_Data!B56</f>
        <v>46269</v>
      </c>
      <c r="C54" s="24" t="str">
        <f>PROPER(TRIM(Raw_Data!C56))</f>
        <v>Mixer Grinder</v>
      </c>
      <c r="D54" s="24" t="str">
        <f>TRIM(Raw_Data!D56)</f>
        <v>Home &amp; Kitchen</v>
      </c>
      <c r="E54" s="26">
        <f>Raw_Data!E56</f>
        <v>3499</v>
      </c>
      <c r="F54" s="24">
        <f>Raw_Data!F56</f>
        <v>2</v>
      </c>
      <c r="G54" s="26">
        <f t="shared" si="0"/>
        <v>6998</v>
      </c>
      <c r="H54" s="24" t="str">
        <f>PROPER(TRIM(Raw_Data!H56))</f>
        <v>Ishaan Gupta</v>
      </c>
      <c r="I54" s="24" t="str">
        <f>PROPER(TRIM(Raw_Data!I56))</f>
        <v>Lucknow</v>
      </c>
      <c r="J54" s="24" t="str">
        <f>TRIM(Raw_Data!J56)</f>
        <v>Debit Card</v>
      </c>
      <c r="K54" s="24" t="str">
        <f>PROPER(TRIM(Raw_Data!K56))</f>
        <v>Delivered</v>
      </c>
      <c r="L54" s="24" t="str">
        <f t="shared" si="1"/>
        <v>Sep</v>
      </c>
      <c r="M54" s="24" t="str">
        <f t="shared" si="2"/>
        <v>Fri</v>
      </c>
      <c r="N54" s="24" t="str">
        <f t="shared" si="3"/>
        <v>Delivered</v>
      </c>
      <c r="O54" s="24" t="str">
        <f>IF(ROUND(G54-Raw_Data!G56,2)=0,"OK","Corrected")</f>
        <v>OK</v>
      </c>
    </row>
    <row r="55" spans="1:15" x14ac:dyDescent="0.3">
      <c r="A55" s="24" t="str">
        <f>TRIM(Raw_Data!A57)</f>
        <v>AMZ-10103</v>
      </c>
      <c r="B55" s="25">
        <f>Raw_Data!B57</f>
        <v>46269</v>
      </c>
      <c r="C55" s="24" t="str">
        <f>PROPER(TRIM(Raw_Data!C57))</f>
        <v>Wireless Earbuds</v>
      </c>
      <c r="D55" s="24" t="str">
        <f>TRIM(Raw_Data!D57)</f>
        <v>Electronics</v>
      </c>
      <c r="E55" s="26">
        <f>Raw_Data!E57</f>
        <v>2499</v>
      </c>
      <c r="F55" s="24">
        <f>Raw_Data!F57</f>
        <v>3</v>
      </c>
      <c r="G55" s="26">
        <f t="shared" si="0"/>
        <v>7497</v>
      </c>
      <c r="H55" s="24" t="str">
        <f>PROPER(TRIM(Raw_Data!H57))</f>
        <v>Nikhil Rao</v>
      </c>
      <c r="I55" s="24" t="str">
        <f>PROPER(TRIM(Raw_Data!I57))</f>
        <v>Chennai</v>
      </c>
      <c r="J55" s="24" t="str">
        <f>TRIM(Raw_Data!J57)</f>
        <v>Cash On Delivery</v>
      </c>
      <c r="K55" s="24" t="str">
        <f>PROPER(TRIM(Raw_Data!K57))</f>
        <v>Delivered</v>
      </c>
      <c r="L55" s="24" t="str">
        <f t="shared" si="1"/>
        <v>Sep</v>
      </c>
      <c r="M55" s="24" t="str">
        <f t="shared" si="2"/>
        <v>Fri</v>
      </c>
      <c r="N55" s="24" t="str">
        <f t="shared" si="3"/>
        <v>Delivered</v>
      </c>
      <c r="O55" s="24" t="str">
        <f>IF(ROUND(G55-Raw_Data!G57,2)=0,"OK","Corrected")</f>
        <v>OK</v>
      </c>
    </row>
    <row r="56" spans="1:15" x14ac:dyDescent="0.3">
      <c r="A56" s="24" t="str">
        <f>TRIM(Raw_Data!A58)</f>
        <v>AMZ-10112</v>
      </c>
      <c r="B56" s="25">
        <f>Raw_Data!B58</f>
        <v>46269</v>
      </c>
      <c r="C56" s="24" t="str">
        <f>PROPER(TRIM(Raw_Data!C58))</f>
        <v>Water Bottle</v>
      </c>
      <c r="D56" s="24" t="str">
        <f>TRIM(Raw_Data!D58)</f>
        <v>Home &amp; Kitchen</v>
      </c>
      <c r="E56" s="26">
        <f>Raw_Data!E58</f>
        <v>499</v>
      </c>
      <c r="F56" s="24">
        <f>Raw_Data!F58</f>
        <v>3</v>
      </c>
      <c r="G56" s="26">
        <f t="shared" si="0"/>
        <v>1497</v>
      </c>
      <c r="H56" s="24" t="str">
        <f>PROPER(TRIM(Raw_Data!H58))</f>
        <v>Nikhil Joshi</v>
      </c>
      <c r="I56" s="24" t="str">
        <f>PROPER(TRIM(Raw_Data!I58))</f>
        <v>Lucknow</v>
      </c>
      <c r="J56" s="24" t="str">
        <f>TRIM(Raw_Data!J58)</f>
        <v>Credit Card</v>
      </c>
      <c r="K56" s="24" t="str">
        <f>PROPER(TRIM(Raw_Data!K58))</f>
        <v>Delivered</v>
      </c>
      <c r="L56" s="24" t="str">
        <f t="shared" si="1"/>
        <v>Sep</v>
      </c>
      <c r="M56" s="24" t="str">
        <f t="shared" si="2"/>
        <v>Fri</v>
      </c>
      <c r="N56" s="24" t="str">
        <f t="shared" si="3"/>
        <v>Delivered</v>
      </c>
      <c r="O56" s="24" t="str">
        <f>IF(ROUND(G56-Raw_Data!G58,2)=0,"OK","Corrected")</f>
        <v>OK</v>
      </c>
    </row>
    <row r="57" spans="1:15" x14ac:dyDescent="0.3">
      <c r="A57" s="24" t="str">
        <f>TRIM(Raw_Data!A59)</f>
        <v>AMZ-10144</v>
      </c>
      <c r="B57" s="25">
        <f>Raw_Data!B59</f>
        <v>46269</v>
      </c>
      <c r="C57" s="24" t="str">
        <f>PROPER(TRIM(Raw_Data!C59))</f>
        <v>Smart Watch</v>
      </c>
      <c r="D57" s="24" t="str">
        <f>TRIM(Raw_Data!D59)</f>
        <v>Electronics</v>
      </c>
      <c r="E57" s="26">
        <f>Raw_Data!E59</f>
        <v>4999</v>
      </c>
      <c r="F57" s="24">
        <f>Raw_Data!F59</f>
        <v>2</v>
      </c>
      <c r="G57" s="26">
        <f t="shared" si="0"/>
        <v>9998</v>
      </c>
      <c r="H57" s="24" t="str">
        <f>PROPER(TRIM(Raw_Data!H59))</f>
        <v>Vikram Reddy</v>
      </c>
      <c r="I57" s="24" t="str">
        <f>PROPER(TRIM(Raw_Data!I59))</f>
        <v>Hyderabad</v>
      </c>
      <c r="J57" s="24" t="str">
        <f>TRIM(Raw_Data!J59)</f>
        <v>Credit Card</v>
      </c>
      <c r="K57" s="24" t="str">
        <f>PROPER(TRIM(Raw_Data!K59))</f>
        <v>Delivered</v>
      </c>
      <c r="L57" s="24" t="str">
        <f t="shared" si="1"/>
        <v>Sep</v>
      </c>
      <c r="M57" s="24" t="str">
        <f t="shared" si="2"/>
        <v>Fri</v>
      </c>
      <c r="N57" s="24" t="str">
        <f t="shared" si="3"/>
        <v>Delivered</v>
      </c>
      <c r="O57" s="24" t="str">
        <f>IF(ROUND(G57-Raw_Data!G59,2)=0,"OK","Corrected")</f>
        <v>OK</v>
      </c>
    </row>
    <row r="58" spans="1:15" x14ac:dyDescent="0.3">
      <c r="A58" s="24" t="str">
        <f>TRIM(Raw_Data!A60)</f>
        <v>AMZ-10163</v>
      </c>
      <c r="B58" s="25">
        <f>Raw_Data!B60</f>
        <v>46269</v>
      </c>
      <c r="C58" s="24" t="str">
        <f>PROPER(TRIM(Raw_Data!C60))</f>
        <v>Self Help Book</v>
      </c>
      <c r="D58" s="24" t="str">
        <f>TRIM(Raw_Data!D60)</f>
        <v>Books</v>
      </c>
      <c r="E58" s="26">
        <f>Raw_Data!E60</f>
        <v>399</v>
      </c>
      <c r="F58" s="24">
        <f>Raw_Data!F60</f>
        <v>1</v>
      </c>
      <c r="G58" s="26">
        <f t="shared" si="0"/>
        <v>399</v>
      </c>
      <c r="H58" s="24" t="str">
        <f>PROPER(TRIM(Raw_Data!H60))</f>
        <v>Priya Chopra</v>
      </c>
      <c r="I58" s="24" t="str">
        <f>PROPER(TRIM(Raw_Data!I60))</f>
        <v>Bangalore</v>
      </c>
      <c r="J58" s="24" t="str">
        <f>TRIM(Raw_Data!J60)</f>
        <v>Credit Card</v>
      </c>
      <c r="K58" s="24" t="str">
        <f>PROPER(TRIM(Raw_Data!K60))</f>
        <v>Delivered</v>
      </c>
      <c r="L58" s="24" t="str">
        <f t="shared" si="1"/>
        <v>Sep</v>
      </c>
      <c r="M58" s="24" t="str">
        <f t="shared" si="2"/>
        <v>Fri</v>
      </c>
      <c r="N58" s="24" t="str">
        <f t="shared" si="3"/>
        <v>Delivered</v>
      </c>
      <c r="O58" s="24" t="str">
        <f>IF(ROUND(G58-Raw_Data!G60,2)=0,"OK","Corrected")</f>
        <v>OK</v>
      </c>
    </row>
    <row r="59" spans="1:15" x14ac:dyDescent="0.3">
      <c r="A59" s="24" t="str">
        <f>TRIM(Raw_Data!A61)</f>
        <v>AMZ-10188</v>
      </c>
      <c r="B59" s="25">
        <f>Raw_Data!B61</f>
        <v>46269</v>
      </c>
      <c r="C59" s="24" t="str">
        <f>PROPER(TRIM(Raw_Data!C61))</f>
        <v>Self Help Book</v>
      </c>
      <c r="D59" s="24" t="str">
        <f>TRIM(Raw_Data!D61)</f>
        <v>Books</v>
      </c>
      <c r="E59" s="26">
        <f>Raw_Data!E61</f>
        <v>399</v>
      </c>
      <c r="F59" s="24">
        <f>Raw_Data!F61</f>
        <v>1</v>
      </c>
      <c r="G59" s="26">
        <f t="shared" si="0"/>
        <v>399</v>
      </c>
      <c r="H59" s="24" t="str">
        <f>PROPER(TRIM(Raw_Data!H61))</f>
        <v>Suresh Das</v>
      </c>
      <c r="I59" s="24" t="str">
        <f>PROPER(TRIM(Raw_Data!I61))</f>
        <v>Bangalore</v>
      </c>
      <c r="J59" s="24" t="str">
        <f>TRIM(Raw_Data!J61)</f>
        <v>UPI</v>
      </c>
      <c r="K59" s="24" t="str">
        <f>PROPER(TRIM(Raw_Data!K61))</f>
        <v>Delivered</v>
      </c>
      <c r="L59" s="24" t="str">
        <f t="shared" si="1"/>
        <v>Sep</v>
      </c>
      <c r="M59" s="24" t="str">
        <f t="shared" si="2"/>
        <v>Fri</v>
      </c>
      <c r="N59" s="24" t="str">
        <f t="shared" si="3"/>
        <v>Delivered</v>
      </c>
      <c r="O59" s="24" t="str">
        <f>IF(ROUND(G59-Raw_Data!G61,2)=0,"OK","Corrected")</f>
        <v>OK</v>
      </c>
    </row>
    <row r="60" spans="1:15" x14ac:dyDescent="0.3">
      <c r="A60" s="24" t="str">
        <f>TRIM(Raw_Data!A62)</f>
        <v>AMZ-10250</v>
      </c>
      <c r="B60" s="25">
        <f>Raw_Data!B62</f>
        <v>46269</v>
      </c>
      <c r="C60" s="24" t="str">
        <f>PROPER(TRIM(Raw_Data!C62))</f>
        <v>Denim Jeans</v>
      </c>
      <c r="D60" s="24" t="str">
        <f>TRIM(Raw_Data!D62)</f>
        <v>Clothing</v>
      </c>
      <c r="E60" s="26">
        <f>Raw_Data!E62</f>
        <v>1799</v>
      </c>
      <c r="F60" s="24">
        <f>Raw_Data!F62</f>
        <v>2</v>
      </c>
      <c r="G60" s="26">
        <f t="shared" si="0"/>
        <v>3598</v>
      </c>
      <c r="H60" s="24" t="str">
        <f>PROPER(TRIM(Raw_Data!H62))</f>
        <v>Nikhil Joshi</v>
      </c>
      <c r="I60" s="24" t="str">
        <f>PROPER(TRIM(Raw_Data!I62))</f>
        <v>Lucknow</v>
      </c>
      <c r="J60" s="24" t="str">
        <f>TRIM(Raw_Data!J62)</f>
        <v>Cash On Delivery</v>
      </c>
      <c r="K60" s="24" t="str">
        <f>PROPER(TRIM(Raw_Data!K62))</f>
        <v>Delivered</v>
      </c>
      <c r="L60" s="24" t="str">
        <f t="shared" si="1"/>
        <v>Sep</v>
      </c>
      <c r="M60" s="24" t="str">
        <f t="shared" si="2"/>
        <v>Fri</v>
      </c>
      <c r="N60" s="24" t="str">
        <f t="shared" si="3"/>
        <v>Delivered</v>
      </c>
      <c r="O60" s="24" t="str">
        <f>IF(ROUND(G60-Raw_Data!G62,2)=0,"OK","Corrected")</f>
        <v>OK</v>
      </c>
    </row>
    <row r="61" spans="1:15" x14ac:dyDescent="0.3">
      <c r="A61" s="24" t="str">
        <f>TRIM(Raw_Data!A63)</f>
        <v>AMZ-10257</v>
      </c>
      <c r="B61" s="25">
        <f>Raw_Data!B63</f>
        <v>46269</v>
      </c>
      <c r="C61" s="24" t="str">
        <f>PROPER(TRIM(Raw_Data!C63))</f>
        <v>Running Shoes</v>
      </c>
      <c r="D61" s="24" t="str">
        <f>TRIM(Raw_Data!D63)</f>
        <v>Footwear</v>
      </c>
      <c r="E61" s="26">
        <f>Raw_Data!E63</f>
        <v>3299</v>
      </c>
      <c r="F61" s="24">
        <f>Raw_Data!F63</f>
        <v>2</v>
      </c>
      <c r="G61" s="26">
        <f t="shared" si="0"/>
        <v>6598</v>
      </c>
      <c r="H61" s="24" t="str">
        <f>PROPER(TRIM(Raw_Data!H63))</f>
        <v>Priya Reddy</v>
      </c>
      <c r="I61" s="24" t="str">
        <f>PROPER(TRIM(Raw_Data!I63))</f>
        <v>Mumbai</v>
      </c>
      <c r="J61" s="24" t="str">
        <f>TRIM(Raw_Data!J63)</f>
        <v>Cash On Delivery</v>
      </c>
      <c r="K61" s="24" t="str">
        <f>PROPER(TRIM(Raw_Data!K63))</f>
        <v>Delivered</v>
      </c>
      <c r="L61" s="24" t="str">
        <f t="shared" si="1"/>
        <v>Sep</v>
      </c>
      <c r="M61" s="24" t="str">
        <f t="shared" si="2"/>
        <v>Fri</v>
      </c>
      <c r="N61" s="24" t="str">
        <f t="shared" si="3"/>
        <v>Delivered</v>
      </c>
      <c r="O61" s="24" t="str">
        <f>IF(ROUND(G61-Raw_Data!G63,2)=0,"OK","Corrected")</f>
        <v>OK</v>
      </c>
    </row>
    <row r="62" spans="1:15" x14ac:dyDescent="0.3">
      <c r="A62" s="24" t="str">
        <f>TRIM(Raw_Data!A64)</f>
        <v>AMZ-10274</v>
      </c>
      <c r="B62" s="25">
        <f>Raw_Data!B64</f>
        <v>46269</v>
      </c>
      <c r="C62" s="24" t="str">
        <f>PROPER(TRIM(Raw_Data!C64))</f>
        <v>Casual Sneakers</v>
      </c>
      <c r="D62" s="24" t="str">
        <f>TRIM(Raw_Data!D64)</f>
        <v>Footwear</v>
      </c>
      <c r="E62" s="26">
        <f>Raw_Data!E64</f>
        <v>2199</v>
      </c>
      <c r="F62" s="24">
        <f>Raw_Data!F64</f>
        <v>2</v>
      </c>
      <c r="G62" s="26">
        <f t="shared" si="0"/>
        <v>4398</v>
      </c>
      <c r="H62" s="24" t="str">
        <f>PROPER(TRIM(Raw_Data!H64))</f>
        <v>Ishaan Gupta</v>
      </c>
      <c r="I62" s="24" t="str">
        <f>PROPER(TRIM(Raw_Data!I64))</f>
        <v>Lucknow</v>
      </c>
      <c r="J62" s="24" t="str">
        <f>TRIM(Raw_Data!J64)</f>
        <v>UPI</v>
      </c>
      <c r="K62" s="24" t="str">
        <f>PROPER(TRIM(Raw_Data!K64))</f>
        <v>Delivered</v>
      </c>
      <c r="L62" s="24" t="str">
        <f t="shared" si="1"/>
        <v>Sep</v>
      </c>
      <c r="M62" s="24" t="str">
        <f t="shared" si="2"/>
        <v>Fri</v>
      </c>
      <c r="N62" s="24" t="str">
        <f t="shared" si="3"/>
        <v>Delivered</v>
      </c>
      <c r="O62" s="24" t="str">
        <f>IF(ROUND(G62-Raw_Data!G64,2)=0,"OK","Corrected")</f>
        <v>OK</v>
      </c>
    </row>
    <row r="63" spans="1:15" x14ac:dyDescent="0.3">
      <c r="A63" s="24" t="str">
        <f>TRIM(Raw_Data!A65)</f>
        <v>AMZ-10317</v>
      </c>
      <c r="B63" s="25">
        <f>Raw_Data!B65</f>
        <v>46269</v>
      </c>
      <c r="C63" s="24" t="str">
        <f>PROPER(TRIM(Raw_Data!C65))</f>
        <v>Power Bank</v>
      </c>
      <c r="D63" s="24" t="str">
        <f>TRIM(Raw_Data!D65)</f>
        <v>Electronics</v>
      </c>
      <c r="E63" s="26">
        <f>Raw_Data!E65</f>
        <v>1299</v>
      </c>
      <c r="F63" s="24">
        <f>Raw_Data!F65</f>
        <v>1</v>
      </c>
      <c r="G63" s="26">
        <f t="shared" si="0"/>
        <v>1299</v>
      </c>
      <c r="H63" s="24" t="str">
        <f>PROPER(TRIM(Raw_Data!H65))</f>
        <v>Sneha Reddy</v>
      </c>
      <c r="I63" s="24" t="str">
        <f>PROPER(TRIM(Raw_Data!I65))</f>
        <v>Pune</v>
      </c>
      <c r="J63" s="24" t="str">
        <f>TRIM(Raw_Data!J65)</f>
        <v>UPI</v>
      </c>
      <c r="K63" s="24" t="str">
        <f>PROPER(TRIM(Raw_Data!K65))</f>
        <v>Delivered</v>
      </c>
      <c r="L63" s="24" t="str">
        <f t="shared" si="1"/>
        <v>Sep</v>
      </c>
      <c r="M63" s="24" t="str">
        <f t="shared" si="2"/>
        <v>Fri</v>
      </c>
      <c r="N63" s="24" t="str">
        <f t="shared" si="3"/>
        <v>Delivered</v>
      </c>
      <c r="O63" s="24" t="str">
        <f>IF(ROUND(G63-Raw_Data!G65,2)=0,"OK","Corrected")</f>
        <v>OK</v>
      </c>
    </row>
    <row r="64" spans="1:15" x14ac:dyDescent="0.3">
      <c r="A64" s="24" t="str">
        <f>TRIM(Raw_Data!A67)</f>
        <v>AMZ-10363</v>
      </c>
      <c r="B64" s="25">
        <f>Raw_Data!B67</f>
        <v>46269</v>
      </c>
      <c r="C64" s="24" t="str">
        <f>PROPER(TRIM(Raw_Data!C67))</f>
        <v>Bluetooth Speaker</v>
      </c>
      <c r="D64" s="24" t="str">
        <f>TRIM(Raw_Data!D67)</f>
        <v>Electronics</v>
      </c>
      <c r="E64" s="26">
        <f>Raw_Data!E67</f>
        <v>1999</v>
      </c>
      <c r="F64" s="24">
        <f>Raw_Data!F67</f>
        <v>3</v>
      </c>
      <c r="G64" s="26">
        <f t="shared" si="0"/>
        <v>5997</v>
      </c>
      <c r="H64" s="24" t="str">
        <f>PROPER(TRIM(Raw_Data!H67))</f>
        <v>Tanvi Gupta</v>
      </c>
      <c r="I64" s="24" t="str">
        <f>PROPER(TRIM(Raw_Data!I67))</f>
        <v>Hyderabad</v>
      </c>
      <c r="J64" s="24" t="str">
        <f>TRIM(Raw_Data!J67)</f>
        <v>UPI</v>
      </c>
      <c r="K64" s="24" t="str">
        <f>PROPER(TRIM(Raw_Data!K67))</f>
        <v>Delivered</v>
      </c>
      <c r="L64" s="24" t="str">
        <f t="shared" si="1"/>
        <v>Sep</v>
      </c>
      <c r="M64" s="24" t="str">
        <f t="shared" si="2"/>
        <v>Fri</v>
      </c>
      <c r="N64" s="24" t="str">
        <f t="shared" si="3"/>
        <v>Delivered</v>
      </c>
      <c r="O64" s="24" t="str">
        <f>IF(ROUND(G64-Raw_Data!G67,2)=0,"OK","Corrected")</f>
        <v>OK</v>
      </c>
    </row>
    <row r="65" spans="1:15" x14ac:dyDescent="0.3">
      <c r="A65" s="24" t="str">
        <f>TRIM(Raw_Data!A68)</f>
        <v>AMZ-10379</v>
      </c>
      <c r="B65" s="25">
        <f>Raw_Data!B68</f>
        <v>46269</v>
      </c>
      <c r="C65" s="24" t="str">
        <f>PROPER(TRIM(Raw_Data!C68))</f>
        <v>Bluetooth Speaker</v>
      </c>
      <c r="D65" s="24" t="str">
        <f>TRIM(Raw_Data!D68)</f>
        <v>Electronics</v>
      </c>
      <c r="E65" s="26">
        <f>Raw_Data!E68</f>
        <v>1999</v>
      </c>
      <c r="F65" s="24">
        <f>Raw_Data!F68</f>
        <v>1</v>
      </c>
      <c r="G65" s="26">
        <f t="shared" si="0"/>
        <v>1999</v>
      </c>
      <c r="H65" s="24" t="str">
        <f>PROPER(TRIM(Raw_Data!H68))</f>
        <v>Suresh Nair</v>
      </c>
      <c r="I65" s="24" t="str">
        <f>PROPER(TRIM(Raw_Data!I68))</f>
        <v>Bangalore</v>
      </c>
      <c r="J65" s="24" t="str">
        <f>TRIM(Raw_Data!J68)</f>
        <v>Debit Card</v>
      </c>
      <c r="K65" s="24" t="str">
        <f>PROPER(TRIM(Raw_Data!K68))</f>
        <v>Delivered</v>
      </c>
      <c r="L65" s="24" t="str">
        <f t="shared" si="1"/>
        <v>Sep</v>
      </c>
      <c r="M65" s="24" t="str">
        <f t="shared" si="2"/>
        <v>Fri</v>
      </c>
      <c r="N65" s="24" t="str">
        <f t="shared" si="3"/>
        <v>Delivered</v>
      </c>
      <c r="O65" s="24" t="str">
        <f>IF(ROUND(G65-Raw_Data!G68,2)=0,"OK","Corrected")</f>
        <v>OK</v>
      </c>
    </row>
    <row r="66" spans="1:15" x14ac:dyDescent="0.3">
      <c r="A66" s="24" t="str">
        <f>TRIM(Raw_Data!A69)</f>
        <v>AMZ-10382</v>
      </c>
      <c r="B66" s="25">
        <f>Raw_Data!B69</f>
        <v>46269</v>
      </c>
      <c r="C66" s="24" t="str">
        <f>PROPER(TRIM(Raw_Data!C69))</f>
        <v>Running Shoes</v>
      </c>
      <c r="D66" s="24" t="str">
        <f>TRIM(Raw_Data!D69)</f>
        <v>Footwear</v>
      </c>
      <c r="E66" s="26">
        <f>Raw_Data!E69</f>
        <v>3299</v>
      </c>
      <c r="F66" s="24">
        <f>Raw_Data!F69</f>
        <v>3</v>
      </c>
      <c r="G66" s="26">
        <f t="shared" ref="G66:G129" si="4">E66*F66</f>
        <v>9897</v>
      </c>
      <c r="H66" s="24" t="str">
        <f>PROPER(TRIM(Raw_Data!H69))</f>
        <v>Nikhil Patel</v>
      </c>
      <c r="I66" s="24" t="str">
        <f>PROPER(TRIM(Raw_Data!I69))</f>
        <v>Hyderabad</v>
      </c>
      <c r="J66" s="24" t="str">
        <f>TRIM(Raw_Data!J69)</f>
        <v>Cash On Delivery</v>
      </c>
      <c r="K66" s="24" t="str">
        <f>PROPER(TRIM(Raw_Data!K69))</f>
        <v>Delivered</v>
      </c>
      <c r="L66" s="24" t="str">
        <f t="shared" ref="L66:L129" si="5">TEXT(B66,"MMM")</f>
        <v>Sep</v>
      </c>
      <c r="M66" s="24" t="str">
        <f t="shared" ref="M66:M129" si="6">TEXT(B66,"ddd")</f>
        <v>Fri</v>
      </c>
      <c r="N66" s="24" t="str">
        <f t="shared" ref="N66:N129" si="7">IF(K66="Delivered","Delivered",IF(K66="Cancelled","Cancelled","Pending"))</f>
        <v>Delivered</v>
      </c>
      <c r="O66" s="24" t="str">
        <f>IF(ROUND(G66-Raw_Data!G69,2)=0,"OK","Corrected")</f>
        <v>OK</v>
      </c>
    </row>
    <row r="67" spans="1:15" x14ac:dyDescent="0.3">
      <c r="A67" s="24" t="str">
        <f>TRIM(Raw_Data!A70)</f>
        <v>AMZ-10412</v>
      </c>
      <c r="B67" s="25">
        <f>Raw_Data!B70</f>
        <v>46269</v>
      </c>
      <c r="C67" s="24" t="str">
        <f>PROPER(TRIM(Raw_Data!C70))</f>
        <v>Smart Watch</v>
      </c>
      <c r="D67" s="24" t="str">
        <f>TRIM(Raw_Data!D70)</f>
        <v>Electronics</v>
      </c>
      <c r="E67" s="26">
        <f>Raw_Data!E70</f>
        <v>4999</v>
      </c>
      <c r="F67" s="24">
        <f>Raw_Data!F70</f>
        <v>1</v>
      </c>
      <c r="G67" s="26">
        <f t="shared" si="4"/>
        <v>4999</v>
      </c>
      <c r="H67" s="24" t="str">
        <f>PROPER(TRIM(Raw_Data!H70))</f>
        <v>Meera Singh</v>
      </c>
      <c r="I67" s="24" t="str">
        <f>PROPER(TRIM(Raw_Data!I70))</f>
        <v>Hyderabad</v>
      </c>
      <c r="J67" s="24" t="str">
        <f>TRIM(Raw_Data!J70)</f>
        <v>UPI</v>
      </c>
      <c r="K67" s="24" t="str">
        <f>PROPER(TRIM(Raw_Data!K70))</f>
        <v>Shipped</v>
      </c>
      <c r="L67" s="24" t="str">
        <f t="shared" si="5"/>
        <v>Sep</v>
      </c>
      <c r="M67" s="24" t="str">
        <f t="shared" si="6"/>
        <v>Fri</v>
      </c>
      <c r="N67" s="24" t="str">
        <f t="shared" si="7"/>
        <v>Pending</v>
      </c>
      <c r="O67" s="24" t="str">
        <f>IF(ROUND(G67-Raw_Data!G70,2)=0,"OK","Corrected")</f>
        <v>OK</v>
      </c>
    </row>
    <row r="68" spans="1:15" x14ac:dyDescent="0.3">
      <c r="A68" s="24" t="str">
        <f>TRIM(Raw_Data!A71)</f>
        <v>AMZ-10482</v>
      </c>
      <c r="B68" s="25">
        <f>Raw_Data!B71</f>
        <v>46269</v>
      </c>
      <c r="C68" s="24" t="str">
        <f>PROPER(TRIM(Raw_Data!C71))</f>
        <v>Power Bank</v>
      </c>
      <c r="D68" s="24" t="str">
        <f>TRIM(Raw_Data!D71)</f>
        <v>Electronics</v>
      </c>
      <c r="E68" s="26">
        <f>Raw_Data!E71</f>
        <v>1299</v>
      </c>
      <c r="F68" s="24">
        <f>Raw_Data!F71</f>
        <v>1</v>
      </c>
      <c r="G68" s="26">
        <f t="shared" si="4"/>
        <v>1299</v>
      </c>
      <c r="H68" s="24" t="str">
        <f>PROPER(TRIM(Raw_Data!H71))</f>
        <v>Tanvi Verma</v>
      </c>
      <c r="I68" s="24" t="str">
        <f>PROPER(TRIM(Raw_Data!I71))</f>
        <v>Kolkata</v>
      </c>
      <c r="J68" s="24" t="str">
        <f>TRIM(Raw_Data!J71)</f>
        <v>UPI</v>
      </c>
      <c r="K68" s="24" t="str">
        <f>PROPER(TRIM(Raw_Data!K71))</f>
        <v>Delivered</v>
      </c>
      <c r="L68" s="24" t="str">
        <f t="shared" si="5"/>
        <v>Sep</v>
      </c>
      <c r="M68" s="24" t="str">
        <f t="shared" si="6"/>
        <v>Fri</v>
      </c>
      <c r="N68" s="24" t="str">
        <f t="shared" si="7"/>
        <v>Delivered</v>
      </c>
      <c r="O68" s="24" t="str">
        <f>IF(ROUND(G68-Raw_Data!G71,2)=0,"OK","Corrected")</f>
        <v>OK</v>
      </c>
    </row>
    <row r="69" spans="1:15" x14ac:dyDescent="0.3">
      <c r="A69" s="24" t="str">
        <f>TRIM(Raw_Data!A72)</f>
        <v>AMZ-10486</v>
      </c>
      <c r="B69" s="25">
        <f>Raw_Data!B72</f>
        <v>46269</v>
      </c>
      <c r="C69" s="24" t="str">
        <f>PROPER(TRIM(Raw_Data!C72))</f>
        <v>Casual Sneakers</v>
      </c>
      <c r="D69" s="24" t="str">
        <f>TRIM(Raw_Data!D72)</f>
        <v>Footwear</v>
      </c>
      <c r="E69" s="26">
        <f>Raw_Data!E72</f>
        <v>2199</v>
      </c>
      <c r="F69" s="24">
        <f>Raw_Data!F72</f>
        <v>1</v>
      </c>
      <c r="G69" s="26">
        <f t="shared" si="4"/>
        <v>2199</v>
      </c>
      <c r="H69" s="24" t="str">
        <f>PROPER(TRIM(Raw_Data!H72))</f>
        <v>Vivaan Iyer</v>
      </c>
      <c r="I69" s="24" t="str">
        <f>PROPER(TRIM(Raw_Data!I72))</f>
        <v>Pune</v>
      </c>
      <c r="J69" s="24" t="str">
        <f>TRIM(Raw_Data!J72)</f>
        <v>UPI</v>
      </c>
      <c r="K69" s="24" t="str">
        <f>PROPER(TRIM(Raw_Data!K72))</f>
        <v>Delivered</v>
      </c>
      <c r="L69" s="24" t="str">
        <f t="shared" si="5"/>
        <v>Sep</v>
      </c>
      <c r="M69" s="24" t="str">
        <f t="shared" si="6"/>
        <v>Fri</v>
      </c>
      <c r="N69" s="24" t="str">
        <f t="shared" si="7"/>
        <v>Delivered</v>
      </c>
      <c r="O69" s="24" t="str">
        <f>IF(ROUND(G69-Raw_Data!G72,2)=0,"OK","Corrected")</f>
        <v>OK</v>
      </c>
    </row>
    <row r="70" spans="1:15" x14ac:dyDescent="0.3">
      <c r="A70" s="24" t="str">
        <f>TRIM(Raw_Data!A73)</f>
        <v>AMZ-10491</v>
      </c>
      <c r="B70" s="25">
        <f>Raw_Data!B73</f>
        <v>46269</v>
      </c>
      <c r="C70" s="24" t="str">
        <f>PROPER(TRIM(Raw_Data!C73))</f>
        <v>Self Help Book</v>
      </c>
      <c r="D70" s="24" t="str">
        <f>TRIM(Raw_Data!D73)</f>
        <v>Books</v>
      </c>
      <c r="E70" s="26">
        <f>Raw_Data!E73</f>
        <v>399</v>
      </c>
      <c r="F70" s="24">
        <f>Raw_Data!F73</f>
        <v>1</v>
      </c>
      <c r="G70" s="26">
        <f t="shared" si="4"/>
        <v>399</v>
      </c>
      <c r="H70" s="24" t="str">
        <f>PROPER(TRIM(Raw_Data!H73))</f>
        <v>Neha Kulkarni</v>
      </c>
      <c r="I70" s="24" t="str">
        <f>PROPER(TRIM(Raw_Data!I73))</f>
        <v>Delhi</v>
      </c>
      <c r="J70" s="24" t="str">
        <f>TRIM(Raw_Data!J73)</f>
        <v>UPI</v>
      </c>
      <c r="K70" s="24" t="str">
        <f>PROPER(TRIM(Raw_Data!K73))</f>
        <v>Delivered</v>
      </c>
      <c r="L70" s="24" t="str">
        <f t="shared" si="5"/>
        <v>Sep</v>
      </c>
      <c r="M70" s="24" t="str">
        <f t="shared" si="6"/>
        <v>Fri</v>
      </c>
      <c r="N70" s="24" t="str">
        <f t="shared" si="7"/>
        <v>Delivered</v>
      </c>
      <c r="O70" s="24" t="str">
        <f>IF(ROUND(G70-Raw_Data!G73,2)=0,"OK","Corrected")</f>
        <v>OK</v>
      </c>
    </row>
    <row r="71" spans="1:15" x14ac:dyDescent="0.3">
      <c r="A71" s="24" t="str">
        <f>TRIM(Raw_Data!A74)</f>
        <v>AMZ-10500</v>
      </c>
      <c r="B71" s="25">
        <f>Raw_Data!B74</f>
        <v>46269</v>
      </c>
      <c r="C71" s="24" t="str">
        <f>PROPER(TRIM(Raw_Data!C74))</f>
        <v>Wireless Earbuds</v>
      </c>
      <c r="D71" s="24" t="str">
        <f>TRIM(Raw_Data!D74)</f>
        <v>Electronics</v>
      </c>
      <c r="E71" s="26">
        <f>Raw_Data!E74</f>
        <v>2499</v>
      </c>
      <c r="F71" s="24">
        <f>Raw_Data!F74</f>
        <v>1</v>
      </c>
      <c r="G71" s="26">
        <f t="shared" si="4"/>
        <v>2499</v>
      </c>
      <c r="H71" s="24" t="str">
        <f>PROPER(TRIM(Raw_Data!H74))</f>
        <v>Nikhil Joshi</v>
      </c>
      <c r="I71" s="24" t="str">
        <f>PROPER(TRIM(Raw_Data!I74))</f>
        <v>Lucknow</v>
      </c>
      <c r="J71" s="24" t="str">
        <f>TRIM(Raw_Data!J74)</f>
        <v>Credit Card</v>
      </c>
      <c r="K71" s="24" t="str">
        <f>PROPER(TRIM(Raw_Data!K74))</f>
        <v>Delivered</v>
      </c>
      <c r="L71" s="24" t="str">
        <f t="shared" si="5"/>
        <v>Sep</v>
      </c>
      <c r="M71" s="24" t="str">
        <f t="shared" si="6"/>
        <v>Fri</v>
      </c>
      <c r="N71" s="24" t="str">
        <f t="shared" si="7"/>
        <v>Delivered</v>
      </c>
      <c r="O71" s="24" t="str">
        <f>IF(ROUND(G71-Raw_Data!G74,2)=0,"OK","Corrected")</f>
        <v>OK</v>
      </c>
    </row>
    <row r="72" spans="1:15" x14ac:dyDescent="0.3">
      <c r="A72" s="24" t="str">
        <f>TRIM(Raw_Data!A75)</f>
        <v>AMZ-10002</v>
      </c>
      <c r="B72" s="25">
        <f>Raw_Data!B75</f>
        <v>46270</v>
      </c>
      <c r="C72" s="24" t="str">
        <f>PROPER(TRIM(Raw_Data!C75))</f>
        <v>Denim Jeans</v>
      </c>
      <c r="D72" s="24" t="str">
        <f>TRIM(Raw_Data!D75)</f>
        <v>Clothing</v>
      </c>
      <c r="E72" s="26">
        <f>Raw_Data!E75</f>
        <v>1799</v>
      </c>
      <c r="F72" s="24">
        <f>Raw_Data!F75</f>
        <v>1</v>
      </c>
      <c r="G72" s="26">
        <f t="shared" si="4"/>
        <v>1799</v>
      </c>
      <c r="H72" s="24" t="str">
        <f>PROPER(TRIM(Raw_Data!H75))</f>
        <v>Anjali Verma</v>
      </c>
      <c r="I72" s="24" t="str">
        <f>PROPER(TRIM(Raw_Data!I75))</f>
        <v>Mumbai</v>
      </c>
      <c r="J72" s="24" t="str">
        <f>TRIM(Raw_Data!J75)</f>
        <v>Debit Card</v>
      </c>
      <c r="K72" s="24" t="str">
        <f>PROPER(TRIM(Raw_Data!K75))</f>
        <v>Shipped</v>
      </c>
      <c r="L72" s="24" t="str">
        <f t="shared" si="5"/>
        <v>Sep</v>
      </c>
      <c r="M72" s="24" t="str">
        <f t="shared" si="6"/>
        <v>Sat</v>
      </c>
      <c r="N72" s="24" t="str">
        <f t="shared" si="7"/>
        <v>Pending</v>
      </c>
      <c r="O72" s="24" t="str">
        <f>IF(ROUND(G72-Raw_Data!G75,2)=0,"OK","Corrected")</f>
        <v>OK</v>
      </c>
    </row>
    <row r="73" spans="1:15" x14ac:dyDescent="0.3">
      <c r="A73" s="24" t="str">
        <f>TRIM(Raw_Data!A77)</f>
        <v>AMZ-10008</v>
      </c>
      <c r="B73" s="25">
        <f>Raw_Data!B77</f>
        <v>46270</v>
      </c>
      <c r="C73" s="24" t="str">
        <f>PROPER(TRIM(Raw_Data!C77))</f>
        <v>Power Bank</v>
      </c>
      <c r="D73" s="24" t="str">
        <f>TRIM(Raw_Data!D77)</f>
        <v>Electronics</v>
      </c>
      <c r="E73" s="26">
        <f>Raw_Data!E77</f>
        <v>1299</v>
      </c>
      <c r="F73" s="24">
        <f>Raw_Data!F77</f>
        <v>1</v>
      </c>
      <c r="G73" s="26">
        <f t="shared" si="4"/>
        <v>1299</v>
      </c>
      <c r="H73" s="24" t="str">
        <f>PROPER(TRIM(Raw_Data!H77))</f>
        <v>Priya Chopra</v>
      </c>
      <c r="I73" s="24" t="str">
        <f>PROPER(TRIM(Raw_Data!I77))</f>
        <v>Bangalore</v>
      </c>
      <c r="J73" s="24" t="str">
        <f>TRIM(Raw_Data!J77)</f>
        <v>Debit Card</v>
      </c>
      <c r="K73" s="24" t="str">
        <f>PROPER(TRIM(Raw_Data!K77))</f>
        <v>Pending</v>
      </c>
      <c r="L73" s="24" t="str">
        <f t="shared" si="5"/>
        <v>Sep</v>
      </c>
      <c r="M73" s="24" t="str">
        <f t="shared" si="6"/>
        <v>Sat</v>
      </c>
      <c r="N73" s="24" t="str">
        <f t="shared" si="7"/>
        <v>Pending</v>
      </c>
      <c r="O73" s="24" t="str">
        <f>IF(ROUND(G73-Raw_Data!G77,2)=0,"OK","Corrected")</f>
        <v>OK</v>
      </c>
    </row>
    <row r="74" spans="1:15" x14ac:dyDescent="0.3">
      <c r="A74" s="24" t="str">
        <f>TRIM(Raw_Data!A78)</f>
        <v>AMZ-10029</v>
      </c>
      <c r="B74" s="25">
        <f>Raw_Data!B78</f>
        <v>46270</v>
      </c>
      <c r="C74" s="24" t="str">
        <f>PROPER(TRIM(Raw_Data!C78))</f>
        <v>Smart Watch</v>
      </c>
      <c r="D74" s="24" t="str">
        <f>TRIM(Raw_Data!D78)</f>
        <v>Electronics</v>
      </c>
      <c r="E74" s="26">
        <f>Raw_Data!E78</f>
        <v>4999</v>
      </c>
      <c r="F74" s="24">
        <f>Raw_Data!F78</f>
        <v>1</v>
      </c>
      <c r="G74" s="26">
        <f t="shared" si="4"/>
        <v>4999</v>
      </c>
      <c r="H74" s="24" t="str">
        <f>PROPER(TRIM(Raw_Data!H78))</f>
        <v>Priya Das</v>
      </c>
      <c r="I74" s="24" t="str">
        <f>PROPER(TRIM(Raw_Data!I78))</f>
        <v>Hyderabad</v>
      </c>
      <c r="J74" s="24" t="str">
        <f>TRIM(Raw_Data!J78)</f>
        <v>UPI</v>
      </c>
      <c r="K74" s="24" t="str">
        <f>PROPER(TRIM(Raw_Data!K78))</f>
        <v>Delivered</v>
      </c>
      <c r="L74" s="24" t="str">
        <f t="shared" si="5"/>
        <v>Sep</v>
      </c>
      <c r="M74" s="24" t="str">
        <f t="shared" si="6"/>
        <v>Sat</v>
      </c>
      <c r="N74" s="24" t="str">
        <f t="shared" si="7"/>
        <v>Delivered</v>
      </c>
      <c r="O74" s="24" t="str">
        <f>IF(ROUND(G74-Raw_Data!G78,2)=0,"OK","Corrected")</f>
        <v>OK</v>
      </c>
    </row>
    <row r="75" spans="1:15" x14ac:dyDescent="0.3">
      <c r="A75" s="24" t="str">
        <f>TRIM(Raw_Data!A79)</f>
        <v>AMZ-10037</v>
      </c>
      <c r="B75" s="25">
        <f>Raw_Data!B79</f>
        <v>46270</v>
      </c>
      <c r="C75" s="24" t="str">
        <f>PROPER(TRIM(Raw_Data!C79))</f>
        <v>Cotton T-Shirt</v>
      </c>
      <c r="D75" s="24" t="str">
        <f>TRIM(Raw_Data!D79)</f>
        <v>Clothing</v>
      </c>
      <c r="E75" s="26">
        <f>Raw_Data!E79</f>
        <v>599</v>
      </c>
      <c r="F75" s="24">
        <f>Raw_Data!F79</f>
        <v>4</v>
      </c>
      <c r="G75" s="26">
        <f t="shared" si="4"/>
        <v>2396</v>
      </c>
      <c r="H75" s="24" t="str">
        <f>PROPER(TRIM(Raw_Data!H79))</f>
        <v>Suresh Nair</v>
      </c>
      <c r="I75" s="24" t="str">
        <f>PROPER(TRIM(Raw_Data!I79))</f>
        <v>Bangalore</v>
      </c>
      <c r="J75" s="24" t="str">
        <f>TRIM(Raw_Data!J79)</f>
        <v>Net Banking</v>
      </c>
      <c r="K75" s="24" t="str">
        <f>PROPER(TRIM(Raw_Data!K79))</f>
        <v>Delivered</v>
      </c>
      <c r="L75" s="24" t="str">
        <f t="shared" si="5"/>
        <v>Sep</v>
      </c>
      <c r="M75" s="24" t="str">
        <f t="shared" si="6"/>
        <v>Sat</v>
      </c>
      <c r="N75" s="24" t="str">
        <f t="shared" si="7"/>
        <v>Delivered</v>
      </c>
      <c r="O75" s="24" t="str">
        <f>IF(ROUND(G75-Raw_Data!G79,2)=0,"OK","Corrected")</f>
        <v>OK</v>
      </c>
    </row>
    <row r="76" spans="1:15" x14ac:dyDescent="0.3">
      <c r="A76" s="24" t="str">
        <f>TRIM(Raw_Data!A80)</f>
        <v>AMZ-10056</v>
      </c>
      <c r="B76" s="25">
        <f>Raw_Data!B80</f>
        <v>46270</v>
      </c>
      <c r="C76" s="24" t="str">
        <f>PROPER(TRIM(Raw_Data!C80))</f>
        <v>Water Bottle</v>
      </c>
      <c r="D76" s="24" t="str">
        <f>TRIM(Raw_Data!D80)</f>
        <v>Home &amp; Kitchen</v>
      </c>
      <c r="E76" s="26">
        <f>Raw_Data!E80</f>
        <v>499</v>
      </c>
      <c r="F76" s="24">
        <f>Raw_Data!F80</f>
        <v>1</v>
      </c>
      <c r="G76" s="26">
        <f t="shared" si="4"/>
        <v>499</v>
      </c>
      <c r="H76" s="24" t="str">
        <f>PROPER(TRIM(Raw_Data!H80))</f>
        <v>Arjun Verma</v>
      </c>
      <c r="I76" s="24" t="str">
        <f>PROPER(TRIM(Raw_Data!I80))</f>
        <v>Pune</v>
      </c>
      <c r="J76" s="24" t="str">
        <f>TRIM(Raw_Data!J80)</f>
        <v>UPI</v>
      </c>
      <c r="K76" s="24" t="str">
        <f>PROPER(TRIM(Raw_Data!K80))</f>
        <v>Delivered</v>
      </c>
      <c r="L76" s="24" t="str">
        <f t="shared" si="5"/>
        <v>Sep</v>
      </c>
      <c r="M76" s="24" t="str">
        <f t="shared" si="6"/>
        <v>Sat</v>
      </c>
      <c r="N76" s="24" t="str">
        <f t="shared" si="7"/>
        <v>Delivered</v>
      </c>
      <c r="O76" s="24" t="str">
        <f>IF(ROUND(G76-Raw_Data!G80,2)=0,"OK","Corrected")</f>
        <v>OK</v>
      </c>
    </row>
    <row r="77" spans="1:15" x14ac:dyDescent="0.3">
      <c r="A77" s="24" t="str">
        <f>TRIM(Raw_Data!A81)</f>
        <v>AMZ-10100</v>
      </c>
      <c r="B77" s="25">
        <f>Raw_Data!B81</f>
        <v>46270</v>
      </c>
      <c r="C77" s="24" t="str">
        <f>PROPER(TRIM(Raw_Data!C81))</f>
        <v>Bluetooth Speaker</v>
      </c>
      <c r="D77" s="24" t="str">
        <f>TRIM(Raw_Data!D81)</f>
        <v>Electronics</v>
      </c>
      <c r="E77" s="26">
        <f>Raw_Data!E81</f>
        <v>1999</v>
      </c>
      <c r="F77" s="24">
        <f>Raw_Data!F81</f>
        <v>1</v>
      </c>
      <c r="G77" s="26">
        <f t="shared" si="4"/>
        <v>1999</v>
      </c>
      <c r="H77" s="24" t="str">
        <f>PROPER(TRIM(Raw_Data!H81))</f>
        <v>Priya Chopra</v>
      </c>
      <c r="I77" s="24" t="str">
        <f>PROPER(TRIM(Raw_Data!I81))</f>
        <v>Bangalore</v>
      </c>
      <c r="J77" s="24" t="str">
        <f>TRIM(Raw_Data!J81)</f>
        <v>UPI</v>
      </c>
      <c r="K77" s="24" t="str">
        <f>PROPER(TRIM(Raw_Data!K81))</f>
        <v>Shipped</v>
      </c>
      <c r="L77" s="24" t="str">
        <f t="shared" si="5"/>
        <v>Sep</v>
      </c>
      <c r="M77" s="24" t="str">
        <f t="shared" si="6"/>
        <v>Sat</v>
      </c>
      <c r="N77" s="24" t="str">
        <f t="shared" si="7"/>
        <v>Pending</v>
      </c>
      <c r="O77" s="24" t="str">
        <f>IF(ROUND(G77-Raw_Data!G81,2)=0,"OK","Corrected")</f>
        <v>OK</v>
      </c>
    </row>
    <row r="78" spans="1:15" x14ac:dyDescent="0.3">
      <c r="A78" s="24" t="str">
        <f>TRIM(Raw_Data!A82)</f>
        <v>AMZ-10104</v>
      </c>
      <c r="B78" s="25">
        <f>Raw_Data!B82</f>
        <v>46270</v>
      </c>
      <c r="C78" s="24" t="str">
        <f>PROPER(TRIM(Raw_Data!C82))</f>
        <v>Wireless Earbuds</v>
      </c>
      <c r="D78" s="24" t="str">
        <f>TRIM(Raw_Data!D82)</f>
        <v>Electronics</v>
      </c>
      <c r="E78" s="26">
        <f>Raw_Data!E82</f>
        <v>2499</v>
      </c>
      <c r="F78" s="24">
        <f>Raw_Data!F82</f>
        <v>2</v>
      </c>
      <c r="G78" s="26">
        <f t="shared" si="4"/>
        <v>4998</v>
      </c>
      <c r="H78" s="24" t="str">
        <f>PROPER(TRIM(Raw_Data!H82))</f>
        <v>Aditya Kulkarni</v>
      </c>
      <c r="I78" s="24" t="str">
        <f>PROPER(TRIM(Raw_Data!I82))</f>
        <v>Bangalore</v>
      </c>
      <c r="J78" s="24" t="str">
        <f>TRIM(Raw_Data!J82)</f>
        <v>UPI</v>
      </c>
      <c r="K78" s="24" t="str">
        <f>PROPER(TRIM(Raw_Data!K82))</f>
        <v>Delivered</v>
      </c>
      <c r="L78" s="24" t="str">
        <f t="shared" si="5"/>
        <v>Sep</v>
      </c>
      <c r="M78" s="24" t="str">
        <f t="shared" si="6"/>
        <v>Sat</v>
      </c>
      <c r="N78" s="24" t="str">
        <f t="shared" si="7"/>
        <v>Delivered</v>
      </c>
      <c r="O78" s="24" t="str">
        <f>IF(ROUND(G78-Raw_Data!G82,2)=0,"OK","Corrected")</f>
        <v>OK</v>
      </c>
    </row>
    <row r="79" spans="1:15" x14ac:dyDescent="0.3">
      <c r="A79" s="24" t="str">
        <f>TRIM(Raw_Data!A83)</f>
        <v>AMZ-10125</v>
      </c>
      <c r="B79" s="25">
        <f>Raw_Data!B83</f>
        <v>46270</v>
      </c>
      <c r="C79" s="24" t="str">
        <f>PROPER(TRIM(Raw_Data!C83))</f>
        <v>Python Programming Book</v>
      </c>
      <c r="D79" s="24" t="str">
        <f>TRIM(Raw_Data!D83)</f>
        <v>Books</v>
      </c>
      <c r="E79" s="26">
        <f>Raw_Data!E83</f>
        <v>699</v>
      </c>
      <c r="F79" s="24">
        <f>Raw_Data!F83</f>
        <v>1</v>
      </c>
      <c r="G79" s="26">
        <f t="shared" si="4"/>
        <v>699</v>
      </c>
      <c r="H79" s="24" t="str">
        <f>PROPER(TRIM(Raw_Data!H83))</f>
        <v>Priya Das</v>
      </c>
      <c r="I79" s="24" t="str">
        <f>PROPER(TRIM(Raw_Data!I83))</f>
        <v>Hyderabad</v>
      </c>
      <c r="J79" s="24" t="str">
        <f>TRIM(Raw_Data!J83)</f>
        <v>Net Banking</v>
      </c>
      <c r="K79" s="24" t="str">
        <f>PROPER(TRIM(Raw_Data!K83))</f>
        <v>Delivered</v>
      </c>
      <c r="L79" s="24" t="str">
        <f t="shared" si="5"/>
        <v>Sep</v>
      </c>
      <c r="M79" s="24" t="str">
        <f t="shared" si="6"/>
        <v>Sat</v>
      </c>
      <c r="N79" s="24" t="str">
        <f t="shared" si="7"/>
        <v>Delivered</v>
      </c>
      <c r="O79" s="24" t="str">
        <f>IF(ROUND(G79-Raw_Data!G83,2)=0,"OK","Corrected")</f>
        <v>OK</v>
      </c>
    </row>
    <row r="80" spans="1:15" x14ac:dyDescent="0.3">
      <c r="A80" s="24" t="str">
        <f>TRIM(Raw_Data!A84)</f>
        <v>AMZ-10133</v>
      </c>
      <c r="B80" s="25">
        <f>Raw_Data!B84</f>
        <v>46270</v>
      </c>
      <c r="C80" s="24" t="str">
        <f>PROPER(TRIM(Raw_Data!C84))</f>
        <v>Mixer Grinder</v>
      </c>
      <c r="D80" s="24" t="str">
        <f>TRIM(Raw_Data!D84)</f>
        <v>Home &amp; Kitchen</v>
      </c>
      <c r="E80" s="26">
        <f>Raw_Data!E84</f>
        <v>3499</v>
      </c>
      <c r="F80" s="24">
        <f>Raw_Data!F84</f>
        <v>2</v>
      </c>
      <c r="G80" s="26">
        <f t="shared" si="4"/>
        <v>6998</v>
      </c>
      <c r="H80" s="24" t="str">
        <f>PROPER(TRIM(Raw_Data!H84))</f>
        <v>Vikram Reddy</v>
      </c>
      <c r="I80" s="24" t="str">
        <f>PROPER(TRIM(Raw_Data!I84))</f>
        <v>Hyderabad</v>
      </c>
      <c r="J80" s="24" t="str">
        <f>TRIM(Raw_Data!J84)</f>
        <v>Credit Card</v>
      </c>
      <c r="K80" s="24" t="str">
        <f>PROPER(TRIM(Raw_Data!K84))</f>
        <v>Delivered</v>
      </c>
      <c r="L80" s="24" t="str">
        <f t="shared" si="5"/>
        <v>Sep</v>
      </c>
      <c r="M80" s="24" t="str">
        <f t="shared" si="6"/>
        <v>Sat</v>
      </c>
      <c r="N80" s="24" t="str">
        <f t="shared" si="7"/>
        <v>Delivered</v>
      </c>
      <c r="O80" s="24" t="str">
        <f>IF(ROUND(G80-Raw_Data!G84,2)=0,"OK","Corrected")</f>
        <v>OK</v>
      </c>
    </row>
    <row r="81" spans="1:15" x14ac:dyDescent="0.3">
      <c r="A81" s="24" t="str">
        <f>TRIM(Raw_Data!A85)</f>
        <v>AMZ-10161</v>
      </c>
      <c r="B81" s="25">
        <f>Raw_Data!B85</f>
        <v>46270</v>
      </c>
      <c r="C81" s="24" t="str">
        <f>PROPER(TRIM(Raw_Data!C85))</f>
        <v>Self Help Book</v>
      </c>
      <c r="D81" s="24" t="str">
        <f>TRIM(Raw_Data!D85)</f>
        <v>Books</v>
      </c>
      <c r="E81" s="26">
        <f>Raw_Data!E85</f>
        <v>399</v>
      </c>
      <c r="F81" s="24">
        <f>Raw_Data!F85</f>
        <v>1</v>
      </c>
      <c r="G81" s="26">
        <f t="shared" si="4"/>
        <v>399</v>
      </c>
      <c r="H81" s="24" t="str">
        <f>PROPER(TRIM(Raw_Data!H85))</f>
        <v>Aditya Rao</v>
      </c>
      <c r="I81" s="24" t="str">
        <f>PROPER(TRIM(Raw_Data!I85))</f>
        <v>Delhi</v>
      </c>
      <c r="J81" s="24" t="str">
        <f>TRIM(Raw_Data!J85)</f>
        <v>Debit Card</v>
      </c>
      <c r="K81" s="24" t="str">
        <f>PROPER(TRIM(Raw_Data!K85))</f>
        <v>Delivered</v>
      </c>
      <c r="L81" s="24" t="str">
        <f t="shared" si="5"/>
        <v>Sep</v>
      </c>
      <c r="M81" s="24" t="str">
        <f t="shared" si="6"/>
        <v>Sat</v>
      </c>
      <c r="N81" s="24" t="str">
        <f t="shared" si="7"/>
        <v>Delivered</v>
      </c>
      <c r="O81" s="24" t="str">
        <f>IF(ROUND(G81-Raw_Data!G85,2)=0,"OK","Corrected")</f>
        <v>OK</v>
      </c>
    </row>
    <row r="82" spans="1:15" x14ac:dyDescent="0.3">
      <c r="A82" s="24" t="str">
        <f>TRIM(Raw_Data!A86)</f>
        <v>AMZ-10176</v>
      </c>
      <c r="B82" s="25">
        <f>Raw_Data!B86</f>
        <v>46270</v>
      </c>
      <c r="C82" s="24" t="str">
        <f>PROPER(TRIM(Raw_Data!C86))</f>
        <v>Self Help Book</v>
      </c>
      <c r="D82" s="24" t="str">
        <f>TRIM(Raw_Data!D86)</f>
        <v>Books</v>
      </c>
      <c r="E82" s="26">
        <f>Raw_Data!E86</f>
        <v>399</v>
      </c>
      <c r="F82" s="24">
        <f>Raw_Data!F86</f>
        <v>1</v>
      </c>
      <c r="G82" s="26">
        <f t="shared" si="4"/>
        <v>399</v>
      </c>
      <c r="H82" s="24" t="str">
        <f>PROPER(TRIM(Raw_Data!H86))</f>
        <v>Tanvi Iyer</v>
      </c>
      <c r="I82" s="24" t="str">
        <f>PROPER(TRIM(Raw_Data!I86))</f>
        <v>Kolkata</v>
      </c>
      <c r="J82" s="24" t="str">
        <f>TRIM(Raw_Data!J86)</f>
        <v>Cash On Delivery</v>
      </c>
      <c r="K82" s="24" t="str">
        <f>PROPER(TRIM(Raw_Data!K86))</f>
        <v>Delivered</v>
      </c>
      <c r="L82" s="24" t="str">
        <f t="shared" si="5"/>
        <v>Sep</v>
      </c>
      <c r="M82" s="24" t="str">
        <f t="shared" si="6"/>
        <v>Sat</v>
      </c>
      <c r="N82" s="24" t="str">
        <f t="shared" si="7"/>
        <v>Delivered</v>
      </c>
      <c r="O82" s="24" t="str">
        <f>IF(ROUND(G82-Raw_Data!G86,2)=0,"OK","Corrected")</f>
        <v>OK</v>
      </c>
    </row>
    <row r="83" spans="1:15" x14ac:dyDescent="0.3">
      <c r="A83" s="24" t="str">
        <f>TRIM(Raw_Data!A87)</f>
        <v>AMZ-10179</v>
      </c>
      <c r="B83" s="25">
        <f>Raw_Data!B87</f>
        <v>46270</v>
      </c>
      <c r="C83" s="24" t="str">
        <f>PROPER(TRIM(Raw_Data!C87))</f>
        <v>Running Shoes</v>
      </c>
      <c r="D83" s="24" t="str">
        <f>TRIM(Raw_Data!D87)</f>
        <v>Footwear</v>
      </c>
      <c r="E83" s="26">
        <f>Raw_Data!E87</f>
        <v>3299</v>
      </c>
      <c r="F83" s="24">
        <f>Raw_Data!F87</f>
        <v>1</v>
      </c>
      <c r="G83" s="26">
        <f t="shared" si="4"/>
        <v>3299</v>
      </c>
      <c r="H83" s="24" t="str">
        <f>PROPER(TRIM(Raw_Data!H87))</f>
        <v>Aditya Kulkarni</v>
      </c>
      <c r="I83" s="24" t="str">
        <f>PROPER(TRIM(Raw_Data!I87))</f>
        <v>Bangalore</v>
      </c>
      <c r="J83" s="24" t="str">
        <f>TRIM(Raw_Data!J87)</f>
        <v>Debit Card</v>
      </c>
      <c r="K83" s="24" t="str">
        <f>PROPER(TRIM(Raw_Data!K87))</f>
        <v>Delivered</v>
      </c>
      <c r="L83" s="24" t="str">
        <f t="shared" si="5"/>
        <v>Sep</v>
      </c>
      <c r="M83" s="24" t="str">
        <f t="shared" si="6"/>
        <v>Sat</v>
      </c>
      <c r="N83" s="24" t="str">
        <f t="shared" si="7"/>
        <v>Delivered</v>
      </c>
      <c r="O83" s="24" t="str">
        <f>IF(ROUND(G83-Raw_Data!G87,2)=0,"OK","Corrected")</f>
        <v>OK</v>
      </c>
    </row>
    <row r="84" spans="1:15" x14ac:dyDescent="0.3">
      <c r="A84" s="24" t="str">
        <f>TRIM(Raw_Data!A88)</f>
        <v>AMZ-10248</v>
      </c>
      <c r="B84" s="25">
        <f>Raw_Data!B88</f>
        <v>46270</v>
      </c>
      <c r="C84" s="24" t="str">
        <f>PROPER(TRIM(Raw_Data!C88))</f>
        <v>Cotton T-Shirt</v>
      </c>
      <c r="D84" s="24" t="str">
        <f>TRIM(Raw_Data!D88)</f>
        <v>Clothing</v>
      </c>
      <c r="E84" s="26">
        <f>Raw_Data!E88</f>
        <v>599</v>
      </c>
      <c r="F84" s="24">
        <f>Raw_Data!F88</f>
        <v>1</v>
      </c>
      <c r="G84" s="26">
        <f t="shared" si="4"/>
        <v>599</v>
      </c>
      <c r="H84" s="24" t="str">
        <f>PROPER(TRIM(Raw_Data!H88))</f>
        <v>Vikram Joshi</v>
      </c>
      <c r="I84" s="24" t="str">
        <f>PROPER(TRIM(Raw_Data!I88))</f>
        <v>Hyderabad</v>
      </c>
      <c r="J84" s="24" t="str">
        <f>TRIM(Raw_Data!J88)</f>
        <v>Debit Card</v>
      </c>
      <c r="K84" s="24" t="str">
        <f>PROPER(TRIM(Raw_Data!K88))</f>
        <v>Delivered</v>
      </c>
      <c r="L84" s="24" t="str">
        <f t="shared" si="5"/>
        <v>Sep</v>
      </c>
      <c r="M84" s="24" t="str">
        <f t="shared" si="6"/>
        <v>Sat</v>
      </c>
      <c r="N84" s="24" t="str">
        <f t="shared" si="7"/>
        <v>Delivered</v>
      </c>
      <c r="O84" s="24" t="str">
        <f>IF(ROUND(G84-Raw_Data!G88,2)=0,"OK","Corrected")</f>
        <v>OK</v>
      </c>
    </row>
    <row r="85" spans="1:15" x14ac:dyDescent="0.3">
      <c r="A85" s="24" t="str">
        <f>TRIM(Raw_Data!A89)</f>
        <v>AMZ-10271</v>
      </c>
      <c r="B85" s="25">
        <f>Raw_Data!B89</f>
        <v>46270</v>
      </c>
      <c r="C85" s="24" t="str">
        <f>PROPER(TRIM(Raw_Data!C89))</f>
        <v>Mixer Grinder</v>
      </c>
      <c r="D85" s="24" t="str">
        <f>TRIM(Raw_Data!D89)</f>
        <v>Home &amp; Kitchen</v>
      </c>
      <c r="E85" s="26">
        <f>Raw_Data!E89</f>
        <v>3499</v>
      </c>
      <c r="F85" s="24">
        <f>Raw_Data!F89</f>
        <v>2</v>
      </c>
      <c r="G85" s="26">
        <f t="shared" si="4"/>
        <v>6998</v>
      </c>
      <c r="H85" s="24" t="str">
        <f>PROPER(TRIM(Raw_Data!H89))</f>
        <v>Aditya Iyer</v>
      </c>
      <c r="I85" s="24" t="str">
        <f>PROPER(TRIM(Raw_Data!I89))</f>
        <v>Mumbai</v>
      </c>
      <c r="J85" s="24" t="str">
        <f>TRIM(Raw_Data!J89)</f>
        <v>UPI</v>
      </c>
      <c r="K85" s="24" t="str">
        <f>PROPER(TRIM(Raw_Data!K89))</f>
        <v>Cancelled</v>
      </c>
      <c r="L85" s="24" t="str">
        <f t="shared" si="5"/>
        <v>Sep</v>
      </c>
      <c r="M85" s="24" t="str">
        <f t="shared" si="6"/>
        <v>Sat</v>
      </c>
      <c r="N85" s="24" t="str">
        <f t="shared" si="7"/>
        <v>Cancelled</v>
      </c>
      <c r="O85" s="24" t="str">
        <f>IF(ROUND(G85-Raw_Data!G89,2)=0,"OK","Corrected")</f>
        <v>OK</v>
      </c>
    </row>
    <row r="86" spans="1:15" x14ac:dyDescent="0.3">
      <c r="A86" s="24" t="str">
        <f>TRIM(Raw_Data!A91)</f>
        <v>AMZ-10298</v>
      </c>
      <c r="B86" s="25">
        <f>Raw_Data!B91</f>
        <v>46270</v>
      </c>
      <c r="C86" s="24" t="str">
        <f>PROPER(TRIM(Raw_Data!C91))</f>
        <v>Sandals</v>
      </c>
      <c r="D86" s="24" t="str">
        <f>TRIM(Raw_Data!D91)</f>
        <v>Footwear</v>
      </c>
      <c r="E86" s="26">
        <f>Raw_Data!E91</f>
        <v>899</v>
      </c>
      <c r="F86" s="24">
        <f>Raw_Data!F91</f>
        <v>1</v>
      </c>
      <c r="G86" s="26">
        <f t="shared" si="4"/>
        <v>899</v>
      </c>
      <c r="H86" s="24" t="str">
        <f>PROPER(TRIM(Raw_Data!H91))</f>
        <v>Ishaan Gupta</v>
      </c>
      <c r="I86" s="24" t="str">
        <f>PROPER(TRIM(Raw_Data!I91))</f>
        <v>Lucknow</v>
      </c>
      <c r="J86" s="24" t="str">
        <f>TRIM(Raw_Data!J91)</f>
        <v>UPI</v>
      </c>
      <c r="K86" s="24" t="str">
        <f>PROPER(TRIM(Raw_Data!K91))</f>
        <v>Delivered</v>
      </c>
      <c r="L86" s="24" t="str">
        <f t="shared" si="5"/>
        <v>Sep</v>
      </c>
      <c r="M86" s="24" t="str">
        <f t="shared" si="6"/>
        <v>Sat</v>
      </c>
      <c r="N86" s="24" t="str">
        <f t="shared" si="7"/>
        <v>Delivered</v>
      </c>
      <c r="O86" s="24" t="str">
        <f>IF(ROUND(G86-Raw_Data!G91,2)=0,"OK","Corrected")</f>
        <v>OK</v>
      </c>
    </row>
    <row r="87" spans="1:15" x14ac:dyDescent="0.3">
      <c r="A87" s="24" t="str">
        <f>TRIM(Raw_Data!A92)</f>
        <v>AMZ-10326</v>
      </c>
      <c r="B87" s="25">
        <f>Raw_Data!B92</f>
        <v>46270</v>
      </c>
      <c r="C87" s="24" t="str">
        <f>PROPER(TRIM(Raw_Data!C92))</f>
        <v>Self Help Book</v>
      </c>
      <c r="D87" s="24" t="str">
        <f>TRIM(Raw_Data!D92)</f>
        <v>Books</v>
      </c>
      <c r="E87" s="26">
        <f>Raw_Data!E92</f>
        <v>399</v>
      </c>
      <c r="F87" s="24">
        <f>Raw_Data!F92</f>
        <v>4</v>
      </c>
      <c r="G87" s="26">
        <f t="shared" si="4"/>
        <v>1596</v>
      </c>
      <c r="H87" s="24" t="str">
        <f>PROPER(TRIM(Raw_Data!H92))</f>
        <v>Tanvi Verma</v>
      </c>
      <c r="I87" s="24" t="str">
        <f>PROPER(TRIM(Raw_Data!I92))</f>
        <v>Kolkata</v>
      </c>
      <c r="J87" s="24" t="str">
        <f>TRIM(Raw_Data!J92)</f>
        <v>UPI</v>
      </c>
      <c r="K87" s="24" t="str">
        <f>PROPER(TRIM(Raw_Data!K92))</f>
        <v>Delivered</v>
      </c>
      <c r="L87" s="24" t="str">
        <f t="shared" si="5"/>
        <v>Sep</v>
      </c>
      <c r="M87" s="24" t="str">
        <f t="shared" si="6"/>
        <v>Sat</v>
      </c>
      <c r="N87" s="24" t="str">
        <f t="shared" si="7"/>
        <v>Delivered</v>
      </c>
      <c r="O87" s="24" t="str">
        <f>IF(ROUND(G87-Raw_Data!G92,2)=0,"OK","Corrected")</f>
        <v>OK</v>
      </c>
    </row>
    <row r="88" spans="1:15" x14ac:dyDescent="0.3">
      <c r="A88" s="24" t="str">
        <f>TRIM(Raw_Data!A93)</f>
        <v>AMZ-10390</v>
      </c>
      <c r="B88" s="25">
        <f>Raw_Data!B93</f>
        <v>46270</v>
      </c>
      <c r="C88" s="24" t="str">
        <f>PROPER(TRIM(Raw_Data!C93))</f>
        <v>Water Bottle</v>
      </c>
      <c r="D88" s="24" t="str">
        <f>TRIM(Raw_Data!D93)</f>
        <v>Home &amp; Kitchen</v>
      </c>
      <c r="E88" s="26">
        <f>Raw_Data!E93</f>
        <v>499</v>
      </c>
      <c r="F88" s="24">
        <f>Raw_Data!F93</f>
        <v>2</v>
      </c>
      <c r="G88" s="26">
        <f t="shared" si="4"/>
        <v>998</v>
      </c>
      <c r="H88" s="24" t="str">
        <f>PROPER(TRIM(Raw_Data!H93))</f>
        <v>Neha Patel</v>
      </c>
      <c r="I88" s="24" t="str">
        <f>PROPER(TRIM(Raw_Data!I93))</f>
        <v>Bangalore</v>
      </c>
      <c r="J88" s="24" t="str">
        <f>TRIM(Raw_Data!J93)</f>
        <v>Cash On Delivery</v>
      </c>
      <c r="K88" s="24" t="str">
        <f>PROPER(TRIM(Raw_Data!K93))</f>
        <v>Delivered</v>
      </c>
      <c r="L88" s="24" t="str">
        <f t="shared" si="5"/>
        <v>Sep</v>
      </c>
      <c r="M88" s="24" t="str">
        <f t="shared" si="6"/>
        <v>Sat</v>
      </c>
      <c r="N88" s="24" t="str">
        <f t="shared" si="7"/>
        <v>Delivered</v>
      </c>
      <c r="O88" s="24" t="str">
        <f>IF(ROUND(G88-Raw_Data!G93,2)=0,"OK","Corrected")</f>
        <v>OK</v>
      </c>
    </row>
    <row r="89" spans="1:15" x14ac:dyDescent="0.3">
      <c r="A89" s="24" t="str">
        <f>TRIM(Raw_Data!A94)</f>
        <v>AMZ-10411</v>
      </c>
      <c r="B89" s="25">
        <f>Raw_Data!B94</f>
        <v>46270</v>
      </c>
      <c r="C89" s="24" t="str">
        <f>PROPER(TRIM(Raw_Data!C94))</f>
        <v>Power Bank</v>
      </c>
      <c r="D89" s="24" t="str">
        <f>TRIM(Raw_Data!D94)</f>
        <v>Electronics</v>
      </c>
      <c r="E89" s="26">
        <f>Raw_Data!E94</f>
        <v>1299</v>
      </c>
      <c r="F89" s="24">
        <f>Raw_Data!F94</f>
        <v>1</v>
      </c>
      <c r="G89" s="26">
        <f t="shared" si="4"/>
        <v>1299</v>
      </c>
      <c r="H89" s="24" t="str">
        <f>PROPER(TRIM(Raw_Data!H94))</f>
        <v>Karan Joshi</v>
      </c>
      <c r="I89" s="24" t="str">
        <f>PROPER(TRIM(Raw_Data!I94))</f>
        <v>Hyderabad</v>
      </c>
      <c r="J89" s="24" t="str">
        <f>TRIM(Raw_Data!J94)</f>
        <v>UPI</v>
      </c>
      <c r="K89" s="24" t="str">
        <f>PROPER(TRIM(Raw_Data!K94))</f>
        <v>Cancelled</v>
      </c>
      <c r="L89" s="24" t="str">
        <f t="shared" si="5"/>
        <v>Sep</v>
      </c>
      <c r="M89" s="24" t="str">
        <f t="shared" si="6"/>
        <v>Sat</v>
      </c>
      <c r="N89" s="24" t="str">
        <f t="shared" si="7"/>
        <v>Cancelled</v>
      </c>
      <c r="O89" s="24" t="str">
        <f>IF(ROUND(G89-Raw_Data!G94,2)=0,"OK","Corrected")</f>
        <v>OK</v>
      </c>
    </row>
    <row r="90" spans="1:15" x14ac:dyDescent="0.3">
      <c r="A90" s="24" t="str">
        <f>TRIM(Raw_Data!A95)</f>
        <v>AMZ-10413</v>
      </c>
      <c r="B90" s="25">
        <f>Raw_Data!B95</f>
        <v>46270</v>
      </c>
      <c r="C90" s="24" t="str">
        <f>PROPER(TRIM(Raw_Data!C95))</f>
        <v>Casual Sneakers</v>
      </c>
      <c r="D90" s="24" t="str">
        <f>TRIM(Raw_Data!D95)</f>
        <v>Footwear</v>
      </c>
      <c r="E90" s="26">
        <f>Raw_Data!E95</f>
        <v>2199</v>
      </c>
      <c r="F90" s="24">
        <f>Raw_Data!F95</f>
        <v>2</v>
      </c>
      <c r="G90" s="26">
        <f t="shared" si="4"/>
        <v>4398</v>
      </c>
      <c r="H90" s="24" t="str">
        <f>PROPER(TRIM(Raw_Data!H95))</f>
        <v>Aditya Singh</v>
      </c>
      <c r="I90" s="24" t="str">
        <f>PROPER(TRIM(Raw_Data!I95))</f>
        <v>Delhi</v>
      </c>
      <c r="J90" s="24" t="str">
        <f>TRIM(Raw_Data!J95)</f>
        <v>UPI</v>
      </c>
      <c r="K90" s="24" t="str">
        <f>PROPER(TRIM(Raw_Data!K95))</f>
        <v>Delivered</v>
      </c>
      <c r="L90" s="24" t="str">
        <f t="shared" si="5"/>
        <v>Sep</v>
      </c>
      <c r="M90" s="24" t="str">
        <f t="shared" si="6"/>
        <v>Sat</v>
      </c>
      <c r="N90" s="24" t="str">
        <f t="shared" si="7"/>
        <v>Delivered</v>
      </c>
      <c r="O90" s="24" t="str">
        <f>IF(ROUND(G90-Raw_Data!G95,2)=0,"OK","Corrected")</f>
        <v>OK</v>
      </c>
    </row>
    <row r="91" spans="1:15" x14ac:dyDescent="0.3">
      <c r="A91" s="24" t="str">
        <f>TRIM(Raw_Data!A96)</f>
        <v>AMZ-10417</v>
      </c>
      <c r="B91" s="25">
        <f>Raw_Data!B96</f>
        <v>46270</v>
      </c>
      <c r="C91" s="24" t="str">
        <f>PROPER(TRIM(Raw_Data!C96))</f>
        <v>Air Fryer</v>
      </c>
      <c r="D91" s="24" t="str">
        <f>TRIM(Raw_Data!D96)</f>
        <v>Home &amp; Kitchen</v>
      </c>
      <c r="E91" s="26">
        <f>Raw_Data!E96</f>
        <v>5999</v>
      </c>
      <c r="F91" s="24">
        <f>Raw_Data!F96</f>
        <v>2</v>
      </c>
      <c r="G91" s="26">
        <f t="shared" si="4"/>
        <v>11998</v>
      </c>
      <c r="H91" s="24" t="str">
        <f>PROPER(TRIM(Raw_Data!H96))</f>
        <v>Arjun Das</v>
      </c>
      <c r="I91" s="24" t="str">
        <f>PROPER(TRIM(Raw_Data!I96))</f>
        <v>Mumbai</v>
      </c>
      <c r="J91" s="24" t="str">
        <f>TRIM(Raw_Data!J96)</f>
        <v>UPI</v>
      </c>
      <c r="K91" s="24" t="str">
        <f>PROPER(TRIM(Raw_Data!K96))</f>
        <v>Delivered</v>
      </c>
      <c r="L91" s="24" t="str">
        <f t="shared" si="5"/>
        <v>Sep</v>
      </c>
      <c r="M91" s="24" t="str">
        <f t="shared" si="6"/>
        <v>Sat</v>
      </c>
      <c r="N91" s="24" t="str">
        <f t="shared" si="7"/>
        <v>Delivered</v>
      </c>
      <c r="O91" s="24" t="str">
        <f>IF(ROUND(G91-Raw_Data!G96,2)=0,"OK","Corrected")</f>
        <v>OK</v>
      </c>
    </row>
    <row r="92" spans="1:15" x14ac:dyDescent="0.3">
      <c r="A92" s="24" t="str">
        <f>TRIM(Raw_Data!A98)</f>
        <v>AMZ-10437</v>
      </c>
      <c r="B92" s="25">
        <f>Raw_Data!B98</f>
        <v>46270</v>
      </c>
      <c r="C92" s="24" t="str">
        <f>PROPER(TRIM(Raw_Data!C98))</f>
        <v>Denim Jeans</v>
      </c>
      <c r="D92" s="24" t="str">
        <f>TRIM(Raw_Data!D98)</f>
        <v>Clothing</v>
      </c>
      <c r="E92" s="26">
        <f>Raw_Data!E98</f>
        <v>1799</v>
      </c>
      <c r="F92" s="24">
        <f>Raw_Data!F98</f>
        <v>1</v>
      </c>
      <c r="G92" s="26">
        <f t="shared" si="4"/>
        <v>1799</v>
      </c>
      <c r="H92" s="24" t="str">
        <f>PROPER(TRIM(Raw_Data!H98))</f>
        <v>Suresh Das</v>
      </c>
      <c r="I92" s="24" t="str">
        <f>PROPER(TRIM(Raw_Data!I98))</f>
        <v>Bangalore</v>
      </c>
      <c r="J92" s="24" t="str">
        <f>TRIM(Raw_Data!J98)</f>
        <v>UPI</v>
      </c>
      <c r="K92" s="24" t="str">
        <f>PROPER(TRIM(Raw_Data!K98))</f>
        <v>Delivered</v>
      </c>
      <c r="L92" s="24" t="str">
        <f t="shared" si="5"/>
        <v>Sep</v>
      </c>
      <c r="M92" s="24" t="str">
        <f t="shared" si="6"/>
        <v>Sat</v>
      </c>
      <c r="N92" s="24" t="str">
        <f t="shared" si="7"/>
        <v>Delivered</v>
      </c>
      <c r="O92" s="24" t="str">
        <f>IF(ROUND(G92-Raw_Data!G98,2)=0,"OK","Corrected")</f>
        <v>OK</v>
      </c>
    </row>
    <row r="93" spans="1:15" x14ac:dyDescent="0.3">
      <c r="A93" s="24" t="str">
        <f>TRIM(Raw_Data!A99)</f>
        <v>AMZ-10465</v>
      </c>
      <c r="B93" s="25">
        <f>Raw_Data!B99</f>
        <v>46270</v>
      </c>
      <c r="C93" s="24" t="str">
        <f>PROPER(TRIM(Raw_Data!C99))</f>
        <v>Denim Jeans</v>
      </c>
      <c r="D93" s="24" t="str">
        <f>TRIM(Raw_Data!D99)</f>
        <v>Clothing</v>
      </c>
      <c r="E93" s="26">
        <f>Raw_Data!E99</f>
        <v>1799</v>
      </c>
      <c r="F93" s="24">
        <f>Raw_Data!F99</f>
        <v>2</v>
      </c>
      <c r="G93" s="26">
        <f t="shared" si="4"/>
        <v>3598</v>
      </c>
      <c r="H93" s="24" t="str">
        <f>PROPER(TRIM(Raw_Data!H99))</f>
        <v>Aditya Singh</v>
      </c>
      <c r="I93" s="24" t="str">
        <f>PROPER(TRIM(Raw_Data!I99))</f>
        <v>Delhi</v>
      </c>
      <c r="J93" s="24" t="str">
        <f>TRIM(Raw_Data!J99)</f>
        <v>Net Banking</v>
      </c>
      <c r="K93" s="24" t="str">
        <f>PROPER(TRIM(Raw_Data!K99))</f>
        <v>Cancelled</v>
      </c>
      <c r="L93" s="24" t="str">
        <f t="shared" si="5"/>
        <v>Sep</v>
      </c>
      <c r="M93" s="24" t="str">
        <f t="shared" si="6"/>
        <v>Sat</v>
      </c>
      <c r="N93" s="24" t="str">
        <f t="shared" si="7"/>
        <v>Cancelled</v>
      </c>
      <c r="O93" s="24" t="str">
        <f>IF(ROUND(G93-Raw_Data!G99,2)=0,"OK","Corrected")</f>
        <v>OK</v>
      </c>
    </row>
    <row r="94" spans="1:15" x14ac:dyDescent="0.3">
      <c r="A94" s="24" t="str">
        <f>TRIM(Raw_Data!A100)</f>
        <v>AMZ-10485</v>
      </c>
      <c r="B94" s="25">
        <f>Raw_Data!B100</f>
        <v>46270</v>
      </c>
      <c r="C94" s="24" t="str">
        <f>PROPER(TRIM(Raw_Data!C100))</f>
        <v>Running Shoes</v>
      </c>
      <c r="D94" s="24" t="str">
        <f>TRIM(Raw_Data!D100)</f>
        <v>Footwear</v>
      </c>
      <c r="E94" s="26">
        <f>Raw_Data!E100</f>
        <v>3299</v>
      </c>
      <c r="F94" s="24">
        <f>Raw_Data!F100</f>
        <v>1</v>
      </c>
      <c r="G94" s="26">
        <f t="shared" si="4"/>
        <v>3299</v>
      </c>
      <c r="H94" s="24" t="str">
        <f>PROPER(TRIM(Raw_Data!H100))</f>
        <v>Suresh Nair</v>
      </c>
      <c r="I94" s="24" t="str">
        <f>PROPER(TRIM(Raw_Data!I100))</f>
        <v>Bangalore</v>
      </c>
      <c r="J94" s="24" t="str">
        <f>TRIM(Raw_Data!J100)</f>
        <v>Cash On Delivery</v>
      </c>
      <c r="K94" s="24" t="str">
        <f>PROPER(TRIM(Raw_Data!K100))</f>
        <v>Delivered</v>
      </c>
      <c r="L94" s="24" t="str">
        <f t="shared" si="5"/>
        <v>Sep</v>
      </c>
      <c r="M94" s="24" t="str">
        <f t="shared" si="6"/>
        <v>Sat</v>
      </c>
      <c r="N94" s="24" t="str">
        <f t="shared" si="7"/>
        <v>Delivered</v>
      </c>
      <c r="O94" s="24" t="str">
        <f>IF(ROUND(G94-Raw_Data!G100,2)=0,"OK","Corrected")</f>
        <v>OK</v>
      </c>
    </row>
    <row r="95" spans="1:15" x14ac:dyDescent="0.3">
      <c r="A95" s="24" t="str">
        <f>TRIM(Raw_Data!A101)</f>
        <v>AMZ-10020</v>
      </c>
      <c r="B95" s="25">
        <f>Raw_Data!B101</f>
        <v>46271</v>
      </c>
      <c r="C95" s="24" t="str">
        <f>PROPER(TRIM(Raw_Data!C101))</f>
        <v>Wireless Earbuds</v>
      </c>
      <c r="D95" s="24" t="str">
        <f>TRIM(Raw_Data!D101)</f>
        <v>Electronics</v>
      </c>
      <c r="E95" s="26">
        <f>Raw_Data!E101</f>
        <v>2499</v>
      </c>
      <c r="F95" s="24">
        <f>Raw_Data!F101</f>
        <v>1</v>
      </c>
      <c r="G95" s="26">
        <f t="shared" si="4"/>
        <v>2499</v>
      </c>
      <c r="H95" s="24" t="str">
        <f>PROPER(TRIM(Raw_Data!H101))</f>
        <v>Vikram Nair</v>
      </c>
      <c r="I95" s="24" t="str">
        <f>PROPER(TRIM(Raw_Data!I101))</f>
        <v>Mumbai</v>
      </c>
      <c r="J95" s="24" t="str">
        <f>TRIM(Raw_Data!J101)</f>
        <v>UPI</v>
      </c>
      <c r="K95" s="24" t="str">
        <f>PROPER(TRIM(Raw_Data!K101))</f>
        <v>Delivered</v>
      </c>
      <c r="L95" s="24" t="str">
        <f t="shared" si="5"/>
        <v>Sep</v>
      </c>
      <c r="M95" s="24" t="str">
        <f t="shared" si="6"/>
        <v>Sun</v>
      </c>
      <c r="N95" s="24" t="str">
        <f t="shared" si="7"/>
        <v>Delivered</v>
      </c>
      <c r="O95" s="24" t="str">
        <f>IF(ROUND(G95-Raw_Data!G101,2)=0,"OK","Corrected")</f>
        <v>OK</v>
      </c>
    </row>
    <row r="96" spans="1:15" x14ac:dyDescent="0.3">
      <c r="A96" s="24" t="str">
        <f>TRIM(Raw_Data!A102)</f>
        <v>AMZ-10109</v>
      </c>
      <c r="B96" s="25">
        <f>Raw_Data!B102</f>
        <v>46271</v>
      </c>
      <c r="C96" s="24" t="str">
        <f>PROPER(TRIM(Raw_Data!C102))</f>
        <v>Bluetooth Speaker</v>
      </c>
      <c r="D96" s="24" t="str">
        <f>TRIM(Raw_Data!D102)</f>
        <v>Electronics</v>
      </c>
      <c r="E96" s="26">
        <f>Raw_Data!E102</f>
        <v>1999</v>
      </c>
      <c r="F96" s="24">
        <f>Raw_Data!F102</f>
        <v>1</v>
      </c>
      <c r="G96" s="26">
        <f t="shared" si="4"/>
        <v>1999</v>
      </c>
      <c r="H96" s="24" t="str">
        <f>PROPER(TRIM(Raw_Data!H102))</f>
        <v>Aditya Rao</v>
      </c>
      <c r="I96" s="24" t="str">
        <f>PROPER(TRIM(Raw_Data!I102))</f>
        <v>Delhi</v>
      </c>
      <c r="J96" s="24" t="str">
        <f>TRIM(Raw_Data!J102)</f>
        <v>UPI</v>
      </c>
      <c r="K96" s="24" t="str">
        <f>PROPER(TRIM(Raw_Data!K102))</f>
        <v>Delivered</v>
      </c>
      <c r="L96" s="24" t="str">
        <f t="shared" si="5"/>
        <v>Sep</v>
      </c>
      <c r="M96" s="24" t="str">
        <f t="shared" si="6"/>
        <v>Sun</v>
      </c>
      <c r="N96" s="24" t="str">
        <f t="shared" si="7"/>
        <v>Delivered</v>
      </c>
      <c r="O96" s="24" t="str">
        <f>IF(ROUND(G96-Raw_Data!G102,2)=0,"OK","Corrected")</f>
        <v>OK</v>
      </c>
    </row>
    <row r="97" spans="1:15" x14ac:dyDescent="0.3">
      <c r="A97" s="24" t="str">
        <f>TRIM(Raw_Data!A103)</f>
        <v>AMZ-10201</v>
      </c>
      <c r="B97" s="25">
        <f>Raw_Data!B103</f>
        <v>46271</v>
      </c>
      <c r="C97" s="24" t="str">
        <f>PROPER(TRIM(Raw_Data!C103))</f>
        <v>Mixer Grinder</v>
      </c>
      <c r="D97" s="24" t="str">
        <f>TRIM(Raw_Data!D103)</f>
        <v>Home &amp; Kitchen</v>
      </c>
      <c r="E97" s="26">
        <f>Raw_Data!E103</f>
        <v>3499</v>
      </c>
      <c r="F97" s="24">
        <f>Raw_Data!F103</f>
        <v>3</v>
      </c>
      <c r="G97" s="26">
        <f t="shared" si="4"/>
        <v>10497</v>
      </c>
      <c r="H97" s="24" t="str">
        <f>PROPER(TRIM(Raw_Data!H103))</f>
        <v>Arjun Chopra</v>
      </c>
      <c r="I97" s="24" t="str">
        <f>PROPER(TRIM(Raw_Data!I103))</f>
        <v>Bangalore</v>
      </c>
      <c r="J97" s="24" t="str">
        <f>TRIM(Raw_Data!J103)</f>
        <v>Debit Card</v>
      </c>
      <c r="K97" s="24" t="str">
        <f>PROPER(TRIM(Raw_Data!K103))</f>
        <v>Delivered</v>
      </c>
      <c r="L97" s="24" t="str">
        <f t="shared" si="5"/>
        <v>Sep</v>
      </c>
      <c r="M97" s="24" t="str">
        <f t="shared" si="6"/>
        <v>Sun</v>
      </c>
      <c r="N97" s="24" t="str">
        <f t="shared" si="7"/>
        <v>Delivered</v>
      </c>
      <c r="O97" s="24" t="str">
        <f>IF(ROUND(G97-Raw_Data!G103,2)=0,"OK","Corrected")</f>
        <v>OK</v>
      </c>
    </row>
    <row r="98" spans="1:15" x14ac:dyDescent="0.3">
      <c r="A98" s="24" t="str">
        <f>TRIM(Raw_Data!A104)</f>
        <v>AMZ-10236</v>
      </c>
      <c r="B98" s="25">
        <f>Raw_Data!B104</f>
        <v>46271</v>
      </c>
      <c r="C98" s="24" t="str">
        <f>PROPER(TRIM(Raw_Data!C104))</f>
        <v>Smart Watch</v>
      </c>
      <c r="D98" s="24" t="str">
        <f>TRIM(Raw_Data!D104)</f>
        <v>Electronics</v>
      </c>
      <c r="E98" s="26">
        <f>Raw_Data!E104</f>
        <v>4999</v>
      </c>
      <c r="F98" s="24">
        <f>Raw_Data!F104</f>
        <v>1</v>
      </c>
      <c r="G98" s="26">
        <f t="shared" si="4"/>
        <v>4999</v>
      </c>
      <c r="H98" s="24" t="str">
        <f>PROPER(TRIM(Raw_Data!H104))</f>
        <v>Arjun Das</v>
      </c>
      <c r="I98" s="24" t="str">
        <f>PROPER(TRIM(Raw_Data!I104))</f>
        <v>Mumbai</v>
      </c>
      <c r="J98" s="24" t="str">
        <f>TRIM(Raw_Data!J104)</f>
        <v>Cash On Delivery</v>
      </c>
      <c r="K98" s="24" t="str">
        <f>PROPER(TRIM(Raw_Data!K104))</f>
        <v>Cancelled</v>
      </c>
      <c r="L98" s="24" t="str">
        <f t="shared" si="5"/>
        <v>Sep</v>
      </c>
      <c r="M98" s="24" t="str">
        <f t="shared" si="6"/>
        <v>Sun</v>
      </c>
      <c r="N98" s="24" t="str">
        <f t="shared" si="7"/>
        <v>Cancelled</v>
      </c>
      <c r="O98" s="24" t="str">
        <f>IF(ROUND(G98-Raw_Data!G104,2)=0,"OK","Corrected")</f>
        <v>OK</v>
      </c>
    </row>
    <row r="99" spans="1:15" x14ac:dyDescent="0.3">
      <c r="A99" s="24" t="str">
        <f>TRIM(Raw_Data!A105)</f>
        <v>AMZ-10266</v>
      </c>
      <c r="B99" s="25">
        <f>Raw_Data!B105</f>
        <v>46271</v>
      </c>
      <c r="C99" s="24" t="str">
        <f>PROPER(TRIM(Raw_Data!C105))</f>
        <v>Casual Sneakers</v>
      </c>
      <c r="D99" s="24" t="str">
        <f>TRIM(Raw_Data!D105)</f>
        <v>Footwear</v>
      </c>
      <c r="E99" s="26">
        <f>Raw_Data!E105</f>
        <v>2199</v>
      </c>
      <c r="F99" s="24">
        <f>Raw_Data!F105</f>
        <v>1</v>
      </c>
      <c r="G99" s="26">
        <f t="shared" si="4"/>
        <v>2199</v>
      </c>
      <c r="H99" s="24" t="str">
        <f>PROPER(TRIM(Raw_Data!H105))</f>
        <v>Vikram Iyer</v>
      </c>
      <c r="I99" s="24" t="str">
        <f>PROPER(TRIM(Raw_Data!I105))</f>
        <v>Bangalore</v>
      </c>
      <c r="J99" s="24" t="str">
        <f>TRIM(Raw_Data!J105)</f>
        <v>Credit Card</v>
      </c>
      <c r="K99" s="24" t="str">
        <f>PROPER(TRIM(Raw_Data!K105))</f>
        <v>Delivered</v>
      </c>
      <c r="L99" s="24" t="str">
        <f t="shared" si="5"/>
        <v>Sep</v>
      </c>
      <c r="M99" s="24" t="str">
        <f t="shared" si="6"/>
        <v>Sun</v>
      </c>
      <c r="N99" s="24" t="str">
        <f t="shared" si="7"/>
        <v>Delivered</v>
      </c>
      <c r="O99" s="24" t="str">
        <f>IF(ROUND(G99-Raw_Data!G105,2)=0,"OK","Corrected")</f>
        <v>OK</v>
      </c>
    </row>
    <row r="100" spans="1:15" x14ac:dyDescent="0.3">
      <c r="A100" s="24" t="str">
        <f>TRIM(Raw_Data!A106)</f>
        <v>AMZ-10270</v>
      </c>
      <c r="B100" s="25">
        <f>Raw_Data!B106</f>
        <v>46271</v>
      </c>
      <c r="C100" s="24" t="str">
        <f>PROPER(TRIM(Raw_Data!C106))</f>
        <v>Running Shoes</v>
      </c>
      <c r="D100" s="24" t="str">
        <f>TRIM(Raw_Data!D106)</f>
        <v>Footwear</v>
      </c>
      <c r="E100" s="26">
        <f>Raw_Data!E106</f>
        <v>3299</v>
      </c>
      <c r="F100" s="24">
        <f>Raw_Data!F106</f>
        <v>2</v>
      </c>
      <c r="G100" s="26">
        <f t="shared" si="4"/>
        <v>6598</v>
      </c>
      <c r="H100" s="24" t="str">
        <f>PROPER(TRIM(Raw_Data!H106))</f>
        <v>Sahil Sharma</v>
      </c>
      <c r="I100" s="24" t="str">
        <f>PROPER(TRIM(Raw_Data!I106))</f>
        <v>Ahmedabad</v>
      </c>
      <c r="J100" s="24" t="str">
        <f>TRIM(Raw_Data!J106)</f>
        <v>Net Banking</v>
      </c>
      <c r="K100" s="24" t="str">
        <f>PROPER(TRIM(Raw_Data!K106))</f>
        <v>Delivered</v>
      </c>
      <c r="L100" s="24" t="str">
        <f t="shared" si="5"/>
        <v>Sep</v>
      </c>
      <c r="M100" s="24" t="str">
        <f t="shared" si="6"/>
        <v>Sun</v>
      </c>
      <c r="N100" s="24" t="str">
        <f t="shared" si="7"/>
        <v>Delivered</v>
      </c>
      <c r="O100" s="24" t="str">
        <f>IF(ROUND(G100-Raw_Data!G106,2)=0,"OK","Corrected")</f>
        <v>OK</v>
      </c>
    </row>
    <row r="101" spans="1:15" x14ac:dyDescent="0.3">
      <c r="A101" s="24" t="str">
        <f>TRIM(Raw_Data!A107)</f>
        <v>AMZ-10279</v>
      </c>
      <c r="B101" s="25">
        <f>Raw_Data!B107</f>
        <v>46271</v>
      </c>
      <c r="C101" s="24" t="str">
        <f>PROPER(TRIM(Raw_Data!C107))</f>
        <v>Air Fryer</v>
      </c>
      <c r="D101" s="24" t="str">
        <f>TRIM(Raw_Data!D107)</f>
        <v>Home &amp; Kitchen</v>
      </c>
      <c r="E101" s="26">
        <f>Raw_Data!E107</f>
        <v>5999</v>
      </c>
      <c r="F101" s="24">
        <f>Raw_Data!F107</f>
        <v>3</v>
      </c>
      <c r="G101" s="26">
        <f t="shared" si="4"/>
        <v>17997</v>
      </c>
      <c r="H101" s="24" t="str">
        <f>PROPER(TRIM(Raw_Data!H107))</f>
        <v>Vikram Nair</v>
      </c>
      <c r="I101" s="24" t="str">
        <f>PROPER(TRIM(Raw_Data!I107))</f>
        <v>Mumbai</v>
      </c>
      <c r="J101" s="24" t="str">
        <f>TRIM(Raw_Data!J107)</f>
        <v>Debit Card</v>
      </c>
      <c r="K101" s="24" t="str">
        <f>PROPER(TRIM(Raw_Data!K107))</f>
        <v>Pending</v>
      </c>
      <c r="L101" s="24" t="str">
        <f t="shared" si="5"/>
        <v>Sep</v>
      </c>
      <c r="M101" s="24" t="str">
        <f t="shared" si="6"/>
        <v>Sun</v>
      </c>
      <c r="N101" s="24" t="str">
        <f t="shared" si="7"/>
        <v>Pending</v>
      </c>
      <c r="O101" s="24" t="str">
        <f>IF(ROUND(G101-Raw_Data!G107,2)=0,"OK","Corrected")</f>
        <v>OK</v>
      </c>
    </row>
    <row r="102" spans="1:15" x14ac:dyDescent="0.3">
      <c r="A102" s="24" t="str">
        <f>TRIM(Raw_Data!A108)</f>
        <v>AMZ-10290</v>
      </c>
      <c r="B102" s="25">
        <f>Raw_Data!B108</f>
        <v>46271</v>
      </c>
      <c r="C102" s="24" t="str">
        <f>PROPER(TRIM(Raw_Data!C108))</f>
        <v>Bluetooth Speaker</v>
      </c>
      <c r="D102" s="24" t="str">
        <f>TRIM(Raw_Data!D108)</f>
        <v>Electronics</v>
      </c>
      <c r="E102" s="26">
        <f>Raw_Data!E108</f>
        <v>1999</v>
      </c>
      <c r="F102" s="24">
        <f>Raw_Data!F108</f>
        <v>3</v>
      </c>
      <c r="G102" s="26">
        <f t="shared" si="4"/>
        <v>5997</v>
      </c>
      <c r="H102" s="24" t="str">
        <f>PROPER(TRIM(Raw_Data!H108))</f>
        <v>Arjun Chopra</v>
      </c>
      <c r="I102" s="24" t="str">
        <f>PROPER(TRIM(Raw_Data!I108))</f>
        <v>Bangalore</v>
      </c>
      <c r="J102" s="24" t="str">
        <f>TRIM(Raw_Data!J108)</f>
        <v>Debit Card</v>
      </c>
      <c r="K102" s="24" t="str">
        <f>PROPER(TRIM(Raw_Data!K108))</f>
        <v>Delivered</v>
      </c>
      <c r="L102" s="24" t="str">
        <f t="shared" si="5"/>
        <v>Sep</v>
      </c>
      <c r="M102" s="24" t="str">
        <f t="shared" si="6"/>
        <v>Sun</v>
      </c>
      <c r="N102" s="24" t="str">
        <f t="shared" si="7"/>
        <v>Delivered</v>
      </c>
      <c r="O102" s="24" t="str">
        <f>IF(ROUND(G102-Raw_Data!G108,2)=0,"OK","Corrected")</f>
        <v>OK</v>
      </c>
    </row>
    <row r="103" spans="1:15" x14ac:dyDescent="0.3">
      <c r="A103" s="24" t="str">
        <f>TRIM(Raw_Data!A109)</f>
        <v>AMZ-10388</v>
      </c>
      <c r="B103" s="25">
        <f>Raw_Data!B109</f>
        <v>46271</v>
      </c>
      <c r="C103" s="24" t="str">
        <f>PROPER(TRIM(Raw_Data!C109))</f>
        <v>Bluetooth Speaker</v>
      </c>
      <c r="D103" s="24" t="str">
        <f>TRIM(Raw_Data!D109)</f>
        <v>Electronics</v>
      </c>
      <c r="E103" s="26">
        <f>Raw_Data!E109</f>
        <v>1999</v>
      </c>
      <c r="F103" s="24">
        <f>Raw_Data!F109</f>
        <v>2</v>
      </c>
      <c r="G103" s="26">
        <f t="shared" si="4"/>
        <v>3998</v>
      </c>
      <c r="H103" s="24" t="str">
        <f>PROPER(TRIM(Raw_Data!H109))</f>
        <v>Nikhil Reddy</v>
      </c>
      <c r="I103" s="24" t="str">
        <f>PROPER(TRIM(Raw_Data!I109))</f>
        <v>Chennai</v>
      </c>
      <c r="J103" s="24" t="str">
        <f>TRIM(Raw_Data!J109)</f>
        <v>Cash On Delivery</v>
      </c>
      <c r="K103" s="24" t="str">
        <f>PROPER(TRIM(Raw_Data!K109))</f>
        <v>Delivered</v>
      </c>
      <c r="L103" s="24" t="str">
        <f t="shared" si="5"/>
        <v>Sep</v>
      </c>
      <c r="M103" s="24" t="str">
        <f t="shared" si="6"/>
        <v>Sun</v>
      </c>
      <c r="N103" s="24" t="str">
        <f t="shared" si="7"/>
        <v>Delivered</v>
      </c>
      <c r="O103" s="24" t="str">
        <f>IF(ROUND(G103-Raw_Data!G109,2)=0,"OK","Corrected")</f>
        <v>OK</v>
      </c>
    </row>
    <row r="104" spans="1:15" x14ac:dyDescent="0.3">
      <c r="A104" s="24" t="str">
        <f>TRIM(Raw_Data!A110)</f>
        <v>AMZ-10432</v>
      </c>
      <c r="B104" s="25">
        <f>Raw_Data!B110</f>
        <v>46271</v>
      </c>
      <c r="C104" s="24" t="str">
        <f>PROPER(TRIM(Raw_Data!C110))</f>
        <v>Self Help Book</v>
      </c>
      <c r="D104" s="24" t="str">
        <f>TRIM(Raw_Data!D110)</f>
        <v>Books</v>
      </c>
      <c r="E104" s="26">
        <f>Raw_Data!E110</f>
        <v>399</v>
      </c>
      <c r="F104" s="24">
        <f>Raw_Data!F110</f>
        <v>2</v>
      </c>
      <c r="G104" s="26">
        <f t="shared" si="4"/>
        <v>798</v>
      </c>
      <c r="H104" s="24" t="str">
        <f>PROPER(TRIM(Raw_Data!H110))</f>
        <v>Meera Rao</v>
      </c>
      <c r="I104" s="24" t="str">
        <f>PROPER(TRIM(Raw_Data!I110))</f>
        <v>Delhi</v>
      </c>
      <c r="J104" s="24" t="str">
        <f>TRIM(Raw_Data!J110)</f>
        <v>Debit Card</v>
      </c>
      <c r="K104" s="24" t="str">
        <f>PROPER(TRIM(Raw_Data!K110))</f>
        <v>Delivered</v>
      </c>
      <c r="L104" s="24" t="str">
        <f t="shared" si="5"/>
        <v>Sep</v>
      </c>
      <c r="M104" s="24" t="str">
        <f t="shared" si="6"/>
        <v>Sun</v>
      </c>
      <c r="N104" s="24" t="str">
        <f t="shared" si="7"/>
        <v>Delivered</v>
      </c>
      <c r="O104" s="24" t="str">
        <f>IF(ROUND(G104-Raw_Data!G110,2)=0,"OK","Corrected")</f>
        <v>OK</v>
      </c>
    </row>
    <row r="105" spans="1:15" x14ac:dyDescent="0.3">
      <c r="A105" s="24" t="str">
        <f>TRIM(Raw_Data!A111)</f>
        <v>AMZ-10440</v>
      </c>
      <c r="B105" s="25">
        <f>Raw_Data!B111</f>
        <v>46271</v>
      </c>
      <c r="C105" s="24" t="str">
        <f>PROPER(TRIM(Raw_Data!C111))</f>
        <v>Running Shoes</v>
      </c>
      <c r="D105" s="24" t="str">
        <f>TRIM(Raw_Data!D111)</f>
        <v>Footwear</v>
      </c>
      <c r="E105" s="26">
        <f>Raw_Data!E111</f>
        <v>3299</v>
      </c>
      <c r="F105" s="24">
        <f>Raw_Data!F111</f>
        <v>1</v>
      </c>
      <c r="G105" s="26">
        <f t="shared" si="4"/>
        <v>3299</v>
      </c>
      <c r="H105" s="24" t="str">
        <f>PROPER(TRIM(Raw_Data!H111))</f>
        <v>Tanvi Verma</v>
      </c>
      <c r="I105" s="24" t="str">
        <f>PROPER(TRIM(Raw_Data!I111))</f>
        <v>Kolkata</v>
      </c>
      <c r="J105" s="24" t="str">
        <f>TRIM(Raw_Data!J111)</f>
        <v>Net Banking</v>
      </c>
      <c r="K105" s="24" t="str">
        <f>PROPER(TRIM(Raw_Data!K111))</f>
        <v>Delivered</v>
      </c>
      <c r="L105" s="24" t="str">
        <f t="shared" si="5"/>
        <v>Sep</v>
      </c>
      <c r="M105" s="24" t="str">
        <f t="shared" si="6"/>
        <v>Sun</v>
      </c>
      <c r="N105" s="24" t="str">
        <f t="shared" si="7"/>
        <v>Delivered</v>
      </c>
      <c r="O105" s="24" t="str">
        <f>IF(ROUND(G105-Raw_Data!G111,2)=0,"OK","Corrected")</f>
        <v>OK</v>
      </c>
    </row>
    <row r="106" spans="1:15" x14ac:dyDescent="0.3">
      <c r="A106" s="24" t="str">
        <f>TRIM(Raw_Data!A112)</f>
        <v>AMZ-10042</v>
      </c>
      <c r="B106" s="25">
        <f>Raw_Data!B112</f>
        <v>46272</v>
      </c>
      <c r="C106" s="24" t="str">
        <f>PROPER(TRIM(Raw_Data!C112))</f>
        <v>Cotton T-Shirt</v>
      </c>
      <c r="D106" s="24" t="str">
        <f>TRIM(Raw_Data!D112)</f>
        <v>Clothing</v>
      </c>
      <c r="E106" s="26">
        <f>Raw_Data!E112</f>
        <v>599</v>
      </c>
      <c r="F106" s="24">
        <f>Raw_Data!F112</f>
        <v>1</v>
      </c>
      <c r="G106" s="26">
        <f t="shared" si="4"/>
        <v>599</v>
      </c>
      <c r="H106" s="24" t="str">
        <f>PROPER(TRIM(Raw_Data!H112))</f>
        <v>Riya Reddy</v>
      </c>
      <c r="I106" s="24" t="str">
        <f>PROPER(TRIM(Raw_Data!I112))</f>
        <v>Hyderabad</v>
      </c>
      <c r="J106" s="24" t="str">
        <f>TRIM(Raw_Data!J112)</f>
        <v>Credit Card</v>
      </c>
      <c r="K106" s="24" t="str">
        <f>PROPER(TRIM(Raw_Data!K112))</f>
        <v>Delivered</v>
      </c>
      <c r="L106" s="24" t="str">
        <f t="shared" si="5"/>
        <v>Sep</v>
      </c>
      <c r="M106" s="24" t="str">
        <f t="shared" si="6"/>
        <v>Mon</v>
      </c>
      <c r="N106" s="24" t="str">
        <f t="shared" si="7"/>
        <v>Delivered</v>
      </c>
      <c r="O106" s="24" t="str">
        <f>IF(ROUND(G106-Raw_Data!G112,2)=0,"OK","Corrected")</f>
        <v>OK</v>
      </c>
    </row>
    <row r="107" spans="1:15" x14ac:dyDescent="0.3">
      <c r="A107" s="24" t="str">
        <f>TRIM(Raw_Data!A113)</f>
        <v>AMZ-10048</v>
      </c>
      <c r="B107" s="25">
        <f>Raw_Data!B113</f>
        <v>46272</v>
      </c>
      <c r="C107" s="24" t="str">
        <f>PROPER(TRIM(Raw_Data!C113))</f>
        <v>Python Programming Book</v>
      </c>
      <c r="D107" s="24" t="str">
        <f>TRIM(Raw_Data!D113)</f>
        <v>Books</v>
      </c>
      <c r="E107" s="26">
        <f>Raw_Data!E113</f>
        <v>699</v>
      </c>
      <c r="F107" s="24">
        <f>Raw_Data!F113</f>
        <v>2</v>
      </c>
      <c r="G107" s="26">
        <f t="shared" si="4"/>
        <v>1398</v>
      </c>
      <c r="H107" s="24" t="str">
        <f>PROPER(TRIM(Raw_Data!H113))</f>
        <v>Riya Reddy</v>
      </c>
      <c r="I107" s="24" t="str">
        <f>PROPER(TRIM(Raw_Data!I113))</f>
        <v>Hyderabad</v>
      </c>
      <c r="J107" s="24" t="str">
        <f>TRIM(Raw_Data!J113)</f>
        <v>UPI</v>
      </c>
      <c r="K107" s="24" t="str">
        <f>PROPER(TRIM(Raw_Data!K113))</f>
        <v>Delivered</v>
      </c>
      <c r="L107" s="24" t="str">
        <f t="shared" si="5"/>
        <v>Sep</v>
      </c>
      <c r="M107" s="24" t="str">
        <f t="shared" si="6"/>
        <v>Mon</v>
      </c>
      <c r="N107" s="24" t="str">
        <f t="shared" si="7"/>
        <v>Delivered</v>
      </c>
      <c r="O107" s="24" t="str">
        <f>IF(ROUND(G107-Raw_Data!G113,2)=0,"OK","Corrected")</f>
        <v>OK</v>
      </c>
    </row>
    <row r="108" spans="1:15" x14ac:dyDescent="0.3">
      <c r="A108" s="24" t="str">
        <f>TRIM(Raw_Data!A114)</f>
        <v>AMZ-10075</v>
      </c>
      <c r="B108" s="25">
        <f>Raw_Data!B114</f>
        <v>46272</v>
      </c>
      <c r="C108" s="24" t="str">
        <f>PROPER(TRIM(Raw_Data!C114))</f>
        <v>Bluetooth Speaker</v>
      </c>
      <c r="D108" s="24" t="str">
        <f>TRIM(Raw_Data!D114)</f>
        <v>Electronics</v>
      </c>
      <c r="E108" s="26">
        <f>Raw_Data!E114</f>
        <v>1999</v>
      </c>
      <c r="F108" s="24">
        <f>Raw_Data!F114</f>
        <v>1</v>
      </c>
      <c r="G108" s="26">
        <f t="shared" si="4"/>
        <v>1999</v>
      </c>
      <c r="H108" s="24" t="str">
        <f>PROPER(TRIM(Raw_Data!H114))</f>
        <v>Kavya Rao</v>
      </c>
      <c r="I108" s="24" t="str">
        <f>PROPER(TRIM(Raw_Data!I114))</f>
        <v>Bangalore</v>
      </c>
      <c r="J108" s="24" t="str">
        <f>TRIM(Raw_Data!J114)</f>
        <v>Credit Card</v>
      </c>
      <c r="K108" s="24" t="str">
        <f>PROPER(TRIM(Raw_Data!K114))</f>
        <v>Delivered</v>
      </c>
      <c r="L108" s="24" t="str">
        <f t="shared" si="5"/>
        <v>Sep</v>
      </c>
      <c r="M108" s="24" t="str">
        <f t="shared" si="6"/>
        <v>Mon</v>
      </c>
      <c r="N108" s="24" t="str">
        <f t="shared" si="7"/>
        <v>Delivered</v>
      </c>
      <c r="O108" s="24" t="str">
        <f>IF(ROUND(G108-Raw_Data!G114,2)=0,"OK","Corrected")</f>
        <v>OK</v>
      </c>
    </row>
    <row r="109" spans="1:15" x14ac:dyDescent="0.3">
      <c r="A109" s="24" t="str">
        <f>TRIM(Raw_Data!A115)</f>
        <v>AMZ-10078</v>
      </c>
      <c r="B109" s="25">
        <f>Raw_Data!B115</f>
        <v>46272</v>
      </c>
      <c r="C109" s="24" t="str">
        <f>PROPER(TRIM(Raw_Data!C115))</f>
        <v>Water Bottle</v>
      </c>
      <c r="D109" s="24" t="str">
        <f>TRIM(Raw_Data!D115)</f>
        <v>Home &amp; Kitchen</v>
      </c>
      <c r="E109" s="26">
        <f>Raw_Data!E115</f>
        <v>499</v>
      </c>
      <c r="F109" s="24">
        <f>Raw_Data!F115</f>
        <v>2</v>
      </c>
      <c r="G109" s="26">
        <f t="shared" si="4"/>
        <v>998</v>
      </c>
      <c r="H109" s="24" t="str">
        <f>PROPER(TRIM(Raw_Data!H115))</f>
        <v>Ishaan Gupta</v>
      </c>
      <c r="I109" s="24" t="str">
        <f>PROPER(TRIM(Raw_Data!I115))</f>
        <v>Lucknow</v>
      </c>
      <c r="J109" s="24" t="str">
        <f>TRIM(Raw_Data!J115)</f>
        <v>Cash On Delivery</v>
      </c>
      <c r="K109" s="24" t="str">
        <f>PROPER(TRIM(Raw_Data!K115))</f>
        <v>Delivered</v>
      </c>
      <c r="L109" s="24" t="str">
        <f t="shared" si="5"/>
        <v>Sep</v>
      </c>
      <c r="M109" s="24" t="str">
        <f t="shared" si="6"/>
        <v>Mon</v>
      </c>
      <c r="N109" s="24" t="str">
        <f t="shared" si="7"/>
        <v>Delivered</v>
      </c>
      <c r="O109" s="24" t="str">
        <f>IF(ROUND(G109-Raw_Data!G115,2)=0,"OK","Corrected")</f>
        <v>OK</v>
      </c>
    </row>
    <row r="110" spans="1:15" x14ac:dyDescent="0.3">
      <c r="A110" s="24" t="str">
        <f>TRIM(Raw_Data!A116)</f>
        <v>AMZ-10305</v>
      </c>
      <c r="B110" s="25">
        <f>Raw_Data!B116</f>
        <v>46272</v>
      </c>
      <c r="C110" s="24" t="str">
        <f>PROPER(TRIM(Raw_Data!C116))</f>
        <v>Wireless Earbuds</v>
      </c>
      <c r="D110" s="24" t="str">
        <f>TRIM(Raw_Data!D116)</f>
        <v>Electronics</v>
      </c>
      <c r="E110" s="26">
        <f>Raw_Data!E116</f>
        <v>2499</v>
      </c>
      <c r="F110" s="24">
        <f>Raw_Data!F116</f>
        <v>1</v>
      </c>
      <c r="G110" s="26">
        <f t="shared" si="4"/>
        <v>2499</v>
      </c>
      <c r="H110" s="24" t="str">
        <f>PROPER(TRIM(Raw_Data!H116))</f>
        <v>Priya Das</v>
      </c>
      <c r="I110" s="24" t="str">
        <f>PROPER(TRIM(Raw_Data!I116))</f>
        <v>Hyderabad</v>
      </c>
      <c r="J110" s="24" t="str">
        <f>TRIM(Raw_Data!J116)</f>
        <v>UPI</v>
      </c>
      <c r="K110" s="24" t="str">
        <f>PROPER(TRIM(Raw_Data!K116))</f>
        <v>Delivered</v>
      </c>
      <c r="L110" s="24" t="str">
        <f t="shared" si="5"/>
        <v>Sep</v>
      </c>
      <c r="M110" s="24" t="str">
        <f t="shared" si="6"/>
        <v>Mon</v>
      </c>
      <c r="N110" s="24" t="str">
        <f t="shared" si="7"/>
        <v>Delivered</v>
      </c>
      <c r="O110" s="24" t="str">
        <f>IF(ROUND(G110-Raw_Data!G116,2)=0,"OK","Corrected")</f>
        <v>OK</v>
      </c>
    </row>
    <row r="111" spans="1:15" x14ac:dyDescent="0.3">
      <c r="A111" s="24" t="str">
        <f>TRIM(Raw_Data!A117)</f>
        <v>AMZ-10308</v>
      </c>
      <c r="B111" s="25">
        <f>Raw_Data!B117</f>
        <v>46272</v>
      </c>
      <c r="C111" s="24" t="str">
        <f>PROPER(TRIM(Raw_Data!C117))</f>
        <v>Air Fryer</v>
      </c>
      <c r="D111" s="24" t="str">
        <f>TRIM(Raw_Data!D117)</f>
        <v>Home &amp; Kitchen</v>
      </c>
      <c r="E111" s="26">
        <f>Raw_Data!E117</f>
        <v>5999</v>
      </c>
      <c r="F111" s="24">
        <f>Raw_Data!F117</f>
        <v>1</v>
      </c>
      <c r="G111" s="26">
        <f t="shared" si="4"/>
        <v>5999</v>
      </c>
      <c r="H111" s="24" t="str">
        <f>PROPER(TRIM(Raw_Data!H117))</f>
        <v>Arjun Chopra</v>
      </c>
      <c r="I111" s="24" t="str">
        <f>PROPER(TRIM(Raw_Data!I117))</f>
        <v>Bangalore</v>
      </c>
      <c r="J111" s="24" t="str">
        <f>TRIM(Raw_Data!J117)</f>
        <v>Debit Card</v>
      </c>
      <c r="K111" s="24" t="str">
        <f>PROPER(TRIM(Raw_Data!K117))</f>
        <v>Delivered</v>
      </c>
      <c r="L111" s="24" t="str">
        <f t="shared" si="5"/>
        <v>Sep</v>
      </c>
      <c r="M111" s="24" t="str">
        <f t="shared" si="6"/>
        <v>Mon</v>
      </c>
      <c r="N111" s="24" t="str">
        <f t="shared" si="7"/>
        <v>Delivered</v>
      </c>
      <c r="O111" s="24" t="str">
        <f>IF(ROUND(G111-Raw_Data!G117,2)=0,"OK","Corrected")</f>
        <v>OK</v>
      </c>
    </row>
    <row r="112" spans="1:15" x14ac:dyDescent="0.3">
      <c r="A112" s="24" t="str">
        <f>TRIM(Raw_Data!A118)</f>
        <v>AMZ-10332</v>
      </c>
      <c r="B112" s="25">
        <f>Raw_Data!B118</f>
        <v>46272</v>
      </c>
      <c r="C112" s="24" t="str">
        <f>PROPER(TRIM(Raw_Data!C118))</f>
        <v>Cotton T-Shirt</v>
      </c>
      <c r="D112" s="24" t="str">
        <f>TRIM(Raw_Data!D118)</f>
        <v>Clothing</v>
      </c>
      <c r="E112" s="26">
        <f>Raw_Data!E118</f>
        <v>599</v>
      </c>
      <c r="F112" s="24">
        <f>Raw_Data!F118</f>
        <v>1</v>
      </c>
      <c r="G112" s="26">
        <f t="shared" si="4"/>
        <v>599</v>
      </c>
      <c r="H112" s="24" t="str">
        <f>PROPER(TRIM(Raw_Data!H118))</f>
        <v>Rajesh Reddy</v>
      </c>
      <c r="I112" s="24" t="str">
        <f>PROPER(TRIM(Raw_Data!I118))</f>
        <v>Delhi</v>
      </c>
      <c r="J112" s="24" t="str">
        <f>TRIM(Raw_Data!J118)</f>
        <v>Debit Card</v>
      </c>
      <c r="K112" s="24" t="str">
        <f>PROPER(TRIM(Raw_Data!K118))</f>
        <v>Delivered</v>
      </c>
      <c r="L112" s="24" t="str">
        <f t="shared" si="5"/>
        <v>Sep</v>
      </c>
      <c r="M112" s="24" t="str">
        <f t="shared" si="6"/>
        <v>Mon</v>
      </c>
      <c r="N112" s="24" t="str">
        <f t="shared" si="7"/>
        <v>Delivered</v>
      </c>
      <c r="O112" s="24" t="str">
        <f>IF(ROUND(G112-Raw_Data!G118,2)=0,"OK","Corrected")</f>
        <v>OK</v>
      </c>
    </row>
    <row r="113" spans="1:15" x14ac:dyDescent="0.3">
      <c r="A113" s="24" t="str">
        <f>TRIM(Raw_Data!A119)</f>
        <v>AMZ-10351</v>
      </c>
      <c r="B113" s="25">
        <f>Raw_Data!B119</f>
        <v>46272</v>
      </c>
      <c r="C113" s="24" t="str">
        <f>PROPER(TRIM(Raw_Data!C119))</f>
        <v>Wireless Earbuds</v>
      </c>
      <c r="D113" s="24" t="str">
        <f>TRIM(Raw_Data!D119)</f>
        <v>Electronics</v>
      </c>
      <c r="E113" s="26">
        <f>Raw_Data!E119</f>
        <v>2499</v>
      </c>
      <c r="F113" s="24">
        <f>Raw_Data!F119</f>
        <v>1</v>
      </c>
      <c r="G113" s="26">
        <f t="shared" si="4"/>
        <v>2499</v>
      </c>
      <c r="H113" s="24" t="str">
        <f>PROPER(TRIM(Raw_Data!H119))</f>
        <v>Pooja Gupta</v>
      </c>
      <c r="I113" s="24" t="str">
        <f>PROPER(TRIM(Raw_Data!I119))</f>
        <v>Bangalore</v>
      </c>
      <c r="J113" s="24" t="str">
        <f>TRIM(Raw_Data!J119)</f>
        <v>Credit Card</v>
      </c>
      <c r="K113" s="24" t="str">
        <f>PROPER(TRIM(Raw_Data!K119))</f>
        <v>Delivered</v>
      </c>
      <c r="L113" s="24" t="str">
        <f t="shared" si="5"/>
        <v>Sep</v>
      </c>
      <c r="M113" s="24" t="str">
        <f t="shared" si="6"/>
        <v>Mon</v>
      </c>
      <c r="N113" s="24" t="str">
        <f t="shared" si="7"/>
        <v>Delivered</v>
      </c>
      <c r="O113" s="24" t="str">
        <f>IF(ROUND(G113-Raw_Data!G119,2)=0,"OK","Corrected")</f>
        <v>OK</v>
      </c>
    </row>
    <row r="114" spans="1:15" x14ac:dyDescent="0.3">
      <c r="A114" s="24" t="str">
        <f>TRIM(Raw_Data!A120)</f>
        <v>AMZ-10355</v>
      </c>
      <c r="B114" s="25">
        <f>Raw_Data!B120</f>
        <v>46272</v>
      </c>
      <c r="C114" s="24" t="str">
        <f>PROPER(TRIM(Raw_Data!C120))</f>
        <v>Casual Sneakers</v>
      </c>
      <c r="D114" s="24" t="str">
        <f>TRIM(Raw_Data!D120)</f>
        <v>Footwear</v>
      </c>
      <c r="E114" s="26">
        <f>Raw_Data!E120</f>
        <v>2199</v>
      </c>
      <c r="F114" s="24">
        <f>Raw_Data!F120</f>
        <v>2</v>
      </c>
      <c r="G114" s="26">
        <f t="shared" si="4"/>
        <v>4398</v>
      </c>
      <c r="H114" s="24" t="str">
        <f>PROPER(TRIM(Raw_Data!H120))</f>
        <v>Suresh Nair</v>
      </c>
      <c r="I114" s="24" t="str">
        <f>PROPER(TRIM(Raw_Data!I120))</f>
        <v>Bangalore</v>
      </c>
      <c r="J114" s="24" t="str">
        <f>TRIM(Raw_Data!J120)</f>
        <v>Credit Card</v>
      </c>
      <c r="K114" s="24" t="str">
        <f>PROPER(TRIM(Raw_Data!K120))</f>
        <v>Delivered</v>
      </c>
      <c r="L114" s="24" t="str">
        <f t="shared" si="5"/>
        <v>Sep</v>
      </c>
      <c r="M114" s="24" t="str">
        <f t="shared" si="6"/>
        <v>Mon</v>
      </c>
      <c r="N114" s="24" t="str">
        <f t="shared" si="7"/>
        <v>Delivered</v>
      </c>
      <c r="O114" s="24" t="str">
        <f>IF(ROUND(G114-Raw_Data!G120,2)=0,"OK","Corrected")</f>
        <v>OK</v>
      </c>
    </row>
    <row r="115" spans="1:15" x14ac:dyDescent="0.3">
      <c r="A115" s="24" t="str">
        <f>TRIM(Raw_Data!A121)</f>
        <v>AMZ-10366</v>
      </c>
      <c r="B115" s="25">
        <f>Raw_Data!B121</f>
        <v>46272</v>
      </c>
      <c r="C115" s="24" t="str">
        <f>PROPER(TRIM(Raw_Data!C121))</f>
        <v>Wireless Earbuds</v>
      </c>
      <c r="D115" s="24" t="str">
        <f>TRIM(Raw_Data!D121)</f>
        <v>Electronics</v>
      </c>
      <c r="E115" s="26">
        <f>Raw_Data!E121</f>
        <v>2499</v>
      </c>
      <c r="F115" s="24">
        <f>Raw_Data!F121</f>
        <v>1</v>
      </c>
      <c r="G115" s="26">
        <f t="shared" si="4"/>
        <v>2499</v>
      </c>
      <c r="H115" s="24" t="str">
        <f>PROPER(TRIM(Raw_Data!H121))</f>
        <v>Priya Chopra</v>
      </c>
      <c r="I115" s="24" t="str">
        <f>PROPER(TRIM(Raw_Data!I121))</f>
        <v>Bangalore</v>
      </c>
      <c r="J115" s="24" t="str">
        <f>TRIM(Raw_Data!J121)</f>
        <v>Debit Card</v>
      </c>
      <c r="K115" s="24" t="str">
        <f>PROPER(TRIM(Raw_Data!K121))</f>
        <v>Cancelled</v>
      </c>
      <c r="L115" s="24" t="str">
        <f t="shared" si="5"/>
        <v>Sep</v>
      </c>
      <c r="M115" s="24" t="str">
        <f t="shared" si="6"/>
        <v>Mon</v>
      </c>
      <c r="N115" s="24" t="str">
        <f t="shared" si="7"/>
        <v>Cancelled</v>
      </c>
      <c r="O115" s="24" t="str">
        <f>IF(ROUND(G115-Raw_Data!G121,2)=0,"OK","Corrected")</f>
        <v>OK</v>
      </c>
    </row>
    <row r="116" spans="1:15" x14ac:dyDescent="0.3">
      <c r="A116" s="24" t="str">
        <f>TRIM(Raw_Data!A122)</f>
        <v>AMZ-10380</v>
      </c>
      <c r="B116" s="25">
        <f>Raw_Data!B122</f>
        <v>46272</v>
      </c>
      <c r="C116" s="24" t="str">
        <f>PROPER(TRIM(Raw_Data!C122))</f>
        <v>Cotton T-Shirt</v>
      </c>
      <c r="D116" s="24" t="str">
        <f>TRIM(Raw_Data!D122)</f>
        <v>Clothing</v>
      </c>
      <c r="E116" s="26">
        <f>Raw_Data!E122</f>
        <v>599</v>
      </c>
      <c r="F116" s="24">
        <f>Raw_Data!F122</f>
        <v>2</v>
      </c>
      <c r="G116" s="26">
        <f t="shared" si="4"/>
        <v>1198</v>
      </c>
      <c r="H116" s="24" t="str">
        <f>PROPER(TRIM(Raw_Data!H122))</f>
        <v>Sneha Singh</v>
      </c>
      <c r="I116" s="24" t="str">
        <f>PROPER(TRIM(Raw_Data!I122))</f>
        <v>Mumbai</v>
      </c>
      <c r="J116" s="24" t="str">
        <f>TRIM(Raw_Data!J122)</f>
        <v>Credit Card</v>
      </c>
      <c r="K116" s="24" t="str">
        <f>PROPER(TRIM(Raw_Data!K122))</f>
        <v>Delivered</v>
      </c>
      <c r="L116" s="24" t="str">
        <f t="shared" si="5"/>
        <v>Sep</v>
      </c>
      <c r="M116" s="24" t="str">
        <f t="shared" si="6"/>
        <v>Mon</v>
      </c>
      <c r="N116" s="24" t="str">
        <f t="shared" si="7"/>
        <v>Delivered</v>
      </c>
      <c r="O116" s="24" t="str">
        <f>IF(ROUND(G116-Raw_Data!G122,2)=0,"OK","Corrected")</f>
        <v>OK</v>
      </c>
    </row>
    <row r="117" spans="1:15" x14ac:dyDescent="0.3">
      <c r="A117" s="24" t="str">
        <f>TRIM(Raw_Data!A123)</f>
        <v>AMZ-10006</v>
      </c>
      <c r="B117" s="25">
        <f>Raw_Data!B123</f>
        <v>46273</v>
      </c>
      <c r="C117" s="24" t="str">
        <f>PROPER(TRIM(Raw_Data!C123))</f>
        <v>Wireless Earbuds</v>
      </c>
      <c r="D117" s="24" t="str">
        <f>TRIM(Raw_Data!D123)</f>
        <v>Electronics</v>
      </c>
      <c r="E117" s="26">
        <f>Raw_Data!E123</f>
        <v>2499</v>
      </c>
      <c r="F117" s="24">
        <f>Raw_Data!F123</f>
        <v>1</v>
      </c>
      <c r="G117" s="26">
        <f t="shared" si="4"/>
        <v>2499</v>
      </c>
      <c r="H117" s="24" t="str">
        <f>PROPER(TRIM(Raw_Data!H123))</f>
        <v>Priya Joshi</v>
      </c>
      <c r="I117" s="24" t="str">
        <f>PROPER(TRIM(Raw_Data!I123))</f>
        <v>Delhi</v>
      </c>
      <c r="J117" s="24" t="str">
        <f>TRIM(Raw_Data!J123)</f>
        <v>UPI</v>
      </c>
      <c r="K117" s="24" t="str">
        <f>PROPER(TRIM(Raw_Data!K123))</f>
        <v>Delivered</v>
      </c>
      <c r="L117" s="24" t="str">
        <f t="shared" si="5"/>
        <v>Sep</v>
      </c>
      <c r="M117" s="24" t="str">
        <f t="shared" si="6"/>
        <v>Tue</v>
      </c>
      <c r="N117" s="24" t="str">
        <f t="shared" si="7"/>
        <v>Delivered</v>
      </c>
      <c r="O117" s="24" t="str">
        <f>IF(ROUND(G117-Raw_Data!G123,2)=0,"OK","Corrected")</f>
        <v>OK</v>
      </c>
    </row>
    <row r="118" spans="1:15" x14ac:dyDescent="0.3">
      <c r="A118" s="24" t="str">
        <f>TRIM(Raw_Data!A124)</f>
        <v>AMZ-10026</v>
      </c>
      <c r="B118" s="25">
        <f>Raw_Data!B124</f>
        <v>46273</v>
      </c>
      <c r="C118" s="24" t="str">
        <f>PROPER(TRIM(Raw_Data!C124))</f>
        <v>Denim Jeans</v>
      </c>
      <c r="D118" s="24" t="str">
        <f>TRIM(Raw_Data!D124)</f>
        <v>Clothing</v>
      </c>
      <c r="E118" s="26">
        <f>Raw_Data!E124</f>
        <v>1799</v>
      </c>
      <c r="F118" s="24">
        <f>Raw_Data!F124</f>
        <v>3</v>
      </c>
      <c r="G118" s="26">
        <f t="shared" si="4"/>
        <v>5397</v>
      </c>
      <c r="H118" s="24" t="str">
        <f>PROPER(TRIM(Raw_Data!H124))</f>
        <v>Vivaan Das</v>
      </c>
      <c r="I118" s="24" t="str">
        <f>PROPER(TRIM(Raw_Data!I124))</f>
        <v>Ahmedabad</v>
      </c>
      <c r="J118" s="24" t="str">
        <f>TRIM(Raw_Data!J124)</f>
        <v>UPI</v>
      </c>
      <c r="K118" s="24" t="str">
        <f>PROPER(TRIM(Raw_Data!K124))</f>
        <v>Delivered</v>
      </c>
      <c r="L118" s="24" t="str">
        <f t="shared" si="5"/>
        <v>Sep</v>
      </c>
      <c r="M118" s="24" t="str">
        <f t="shared" si="6"/>
        <v>Tue</v>
      </c>
      <c r="N118" s="24" t="str">
        <f t="shared" si="7"/>
        <v>Delivered</v>
      </c>
      <c r="O118" s="24" t="str">
        <f>IF(ROUND(G118-Raw_Data!G124,2)=0,"OK","Corrected")</f>
        <v>OK</v>
      </c>
    </row>
    <row r="119" spans="1:15" x14ac:dyDescent="0.3">
      <c r="A119" s="24" t="str">
        <f>TRIM(Raw_Data!A125)</f>
        <v>AMZ-10077</v>
      </c>
      <c r="B119" s="25">
        <f>Raw_Data!B125</f>
        <v>46273</v>
      </c>
      <c r="C119" s="24" t="str">
        <f>PROPER(TRIM(Raw_Data!C125))</f>
        <v>Wireless Earbuds</v>
      </c>
      <c r="D119" s="24" t="str">
        <f>TRIM(Raw_Data!D125)</f>
        <v>Electronics</v>
      </c>
      <c r="E119" s="26">
        <f>Raw_Data!E125</f>
        <v>2499</v>
      </c>
      <c r="F119" s="24">
        <f>Raw_Data!F125</f>
        <v>1</v>
      </c>
      <c r="G119" s="26">
        <f t="shared" si="4"/>
        <v>2499</v>
      </c>
      <c r="H119" s="24" t="str">
        <f>PROPER(TRIM(Raw_Data!H125))</f>
        <v>Meera Rao</v>
      </c>
      <c r="I119" s="24" t="str">
        <f>PROPER(TRIM(Raw_Data!I125))</f>
        <v>Delhi</v>
      </c>
      <c r="J119" s="24" t="str">
        <f>TRIM(Raw_Data!J125)</f>
        <v>Debit Card</v>
      </c>
      <c r="K119" s="24" t="str">
        <f>PROPER(TRIM(Raw_Data!K125))</f>
        <v>Cancelled</v>
      </c>
      <c r="L119" s="24" t="str">
        <f t="shared" si="5"/>
        <v>Sep</v>
      </c>
      <c r="M119" s="24" t="str">
        <f t="shared" si="6"/>
        <v>Tue</v>
      </c>
      <c r="N119" s="24" t="str">
        <f t="shared" si="7"/>
        <v>Cancelled</v>
      </c>
      <c r="O119" s="24" t="str">
        <f>IF(ROUND(G119-Raw_Data!G125,2)=0,"OK","Corrected")</f>
        <v>OK</v>
      </c>
    </row>
    <row r="120" spans="1:15" x14ac:dyDescent="0.3">
      <c r="A120" s="24" t="str">
        <f>TRIM(Raw_Data!A126)</f>
        <v>AMZ-10093</v>
      </c>
      <c r="B120" s="25">
        <f>Raw_Data!B126</f>
        <v>46273</v>
      </c>
      <c r="C120" s="24" t="str">
        <f>PROPER(TRIM(Raw_Data!C126))</f>
        <v>Python Programming Book</v>
      </c>
      <c r="D120" s="24" t="str">
        <f>TRIM(Raw_Data!D126)</f>
        <v>Books</v>
      </c>
      <c r="E120" s="26">
        <f>Raw_Data!E126</f>
        <v>699</v>
      </c>
      <c r="F120" s="24">
        <f>Raw_Data!F126</f>
        <v>1</v>
      </c>
      <c r="G120" s="26">
        <f t="shared" si="4"/>
        <v>699</v>
      </c>
      <c r="H120" s="24" t="str">
        <f>PROPER(TRIM(Raw_Data!H126))</f>
        <v>Tanvi Gupta</v>
      </c>
      <c r="I120" s="24" t="str">
        <f>PROPER(TRIM(Raw_Data!I126))</f>
        <v>Hyderabad</v>
      </c>
      <c r="J120" s="24" t="str">
        <f>TRIM(Raw_Data!J126)</f>
        <v>Debit Card</v>
      </c>
      <c r="K120" s="24" t="str">
        <f>PROPER(TRIM(Raw_Data!K126))</f>
        <v>Delivered</v>
      </c>
      <c r="L120" s="24" t="str">
        <f t="shared" si="5"/>
        <v>Sep</v>
      </c>
      <c r="M120" s="24" t="str">
        <f t="shared" si="6"/>
        <v>Tue</v>
      </c>
      <c r="N120" s="24" t="str">
        <f t="shared" si="7"/>
        <v>Delivered</v>
      </c>
      <c r="O120" s="24" t="str">
        <f>IF(ROUND(G120-Raw_Data!G126,2)=0,"OK","Corrected")</f>
        <v>OK</v>
      </c>
    </row>
    <row r="121" spans="1:15" x14ac:dyDescent="0.3">
      <c r="A121" s="24" t="str">
        <f>TRIM(Raw_Data!A127)</f>
        <v>AMZ-10135</v>
      </c>
      <c r="B121" s="25">
        <f>Raw_Data!B127</f>
        <v>46273</v>
      </c>
      <c r="C121" s="24" t="str">
        <f>PROPER(TRIM(Raw_Data!C127))</f>
        <v>Denim Jeans</v>
      </c>
      <c r="D121" s="24" t="str">
        <f>TRIM(Raw_Data!D127)</f>
        <v>Clothing</v>
      </c>
      <c r="E121" s="26">
        <f>Raw_Data!E127</f>
        <v>1799</v>
      </c>
      <c r="F121" s="24">
        <f>Raw_Data!F127</f>
        <v>1</v>
      </c>
      <c r="G121" s="26">
        <f t="shared" si="4"/>
        <v>1799</v>
      </c>
      <c r="H121" s="24" t="str">
        <f>PROPER(TRIM(Raw_Data!H127))</f>
        <v>Neha Kulkarni</v>
      </c>
      <c r="I121" s="24" t="str">
        <f>PROPER(TRIM(Raw_Data!I127))</f>
        <v>Delhi</v>
      </c>
      <c r="J121" s="24" t="str">
        <f>TRIM(Raw_Data!J127)</f>
        <v>Cash On Delivery</v>
      </c>
      <c r="K121" s="24" t="str">
        <f>PROPER(TRIM(Raw_Data!K127))</f>
        <v>Delivered</v>
      </c>
      <c r="L121" s="24" t="str">
        <f t="shared" si="5"/>
        <v>Sep</v>
      </c>
      <c r="M121" s="24" t="str">
        <f t="shared" si="6"/>
        <v>Tue</v>
      </c>
      <c r="N121" s="24" t="str">
        <f t="shared" si="7"/>
        <v>Delivered</v>
      </c>
      <c r="O121" s="24" t="str">
        <f>IF(ROUND(G121-Raw_Data!G127,2)=0,"OK","Corrected")</f>
        <v>OK</v>
      </c>
    </row>
    <row r="122" spans="1:15" x14ac:dyDescent="0.3">
      <c r="A122" s="24" t="str">
        <f>TRIM(Raw_Data!A128)</f>
        <v>AMZ-10143</v>
      </c>
      <c r="B122" s="25">
        <f>Raw_Data!B128</f>
        <v>46273</v>
      </c>
      <c r="C122" s="24" t="str">
        <f>PROPER(TRIM(Raw_Data!C128))</f>
        <v>Power Bank</v>
      </c>
      <c r="D122" s="24" t="str">
        <f>TRIM(Raw_Data!D128)</f>
        <v>Electronics</v>
      </c>
      <c r="E122" s="26">
        <f>Raw_Data!E128</f>
        <v>1299</v>
      </c>
      <c r="F122" s="24">
        <f>Raw_Data!F128</f>
        <v>2</v>
      </c>
      <c r="G122" s="26">
        <f t="shared" si="4"/>
        <v>2598</v>
      </c>
      <c r="H122" s="24" t="str">
        <f>PROPER(TRIM(Raw_Data!H128))</f>
        <v>Kavya Gupta</v>
      </c>
      <c r="I122" s="24" t="str">
        <f>PROPER(TRIM(Raw_Data!I128))</f>
        <v>Hyderabad</v>
      </c>
      <c r="J122" s="24" t="str">
        <f>TRIM(Raw_Data!J128)</f>
        <v>Debit Card</v>
      </c>
      <c r="K122" s="24" t="str">
        <f>PROPER(TRIM(Raw_Data!K128))</f>
        <v>Delivered</v>
      </c>
      <c r="L122" s="24" t="str">
        <f t="shared" si="5"/>
        <v>Sep</v>
      </c>
      <c r="M122" s="24" t="str">
        <f t="shared" si="6"/>
        <v>Tue</v>
      </c>
      <c r="N122" s="24" t="str">
        <f t="shared" si="7"/>
        <v>Delivered</v>
      </c>
      <c r="O122" s="24" t="str">
        <f>IF(ROUND(G122-Raw_Data!G128,2)=0,"OK","Corrected")</f>
        <v>OK</v>
      </c>
    </row>
    <row r="123" spans="1:15" x14ac:dyDescent="0.3">
      <c r="A123" s="24" t="str">
        <f>TRIM(Raw_Data!A129)</f>
        <v>AMZ-10171</v>
      </c>
      <c r="B123" s="25">
        <f>Raw_Data!B129</f>
        <v>46273</v>
      </c>
      <c r="C123" s="24" t="str">
        <f>PROPER(TRIM(Raw_Data!C129))</f>
        <v>Water Bottle</v>
      </c>
      <c r="D123" s="24" t="str">
        <f>TRIM(Raw_Data!D129)</f>
        <v>Home &amp; Kitchen</v>
      </c>
      <c r="E123" s="26">
        <f>Raw_Data!E129</f>
        <v>499</v>
      </c>
      <c r="F123" s="24">
        <f>Raw_Data!F129</f>
        <v>1</v>
      </c>
      <c r="G123" s="26">
        <f t="shared" si="4"/>
        <v>499</v>
      </c>
      <c r="H123" s="24" t="str">
        <f>PROPER(TRIM(Raw_Data!H129))</f>
        <v>Nikhil Kulkarni</v>
      </c>
      <c r="I123" s="24" t="str">
        <f>PROPER(TRIM(Raw_Data!I129))</f>
        <v>Pune</v>
      </c>
      <c r="J123" s="24" t="str">
        <f>TRIM(Raw_Data!J129)</f>
        <v>Cash On Delivery</v>
      </c>
      <c r="K123" s="24" t="str">
        <f>PROPER(TRIM(Raw_Data!K129))</f>
        <v>Delivered</v>
      </c>
      <c r="L123" s="24" t="str">
        <f t="shared" si="5"/>
        <v>Sep</v>
      </c>
      <c r="M123" s="24" t="str">
        <f t="shared" si="6"/>
        <v>Tue</v>
      </c>
      <c r="N123" s="24" t="str">
        <f t="shared" si="7"/>
        <v>Delivered</v>
      </c>
      <c r="O123" s="24" t="str">
        <f>IF(ROUND(G123-Raw_Data!G129,2)=0,"OK","Corrected")</f>
        <v>OK</v>
      </c>
    </row>
    <row r="124" spans="1:15" x14ac:dyDescent="0.3">
      <c r="A124" s="24" t="str">
        <f>TRIM(Raw_Data!A130)</f>
        <v>AMZ-10211</v>
      </c>
      <c r="B124" s="25">
        <f>Raw_Data!B130</f>
        <v>46273</v>
      </c>
      <c r="C124" s="24" t="str">
        <f>PROPER(TRIM(Raw_Data!C130))</f>
        <v>Running Shoes</v>
      </c>
      <c r="D124" s="24" t="str">
        <f>TRIM(Raw_Data!D130)</f>
        <v>Footwear</v>
      </c>
      <c r="E124" s="26">
        <f>Raw_Data!E130</f>
        <v>3299</v>
      </c>
      <c r="F124" s="24">
        <f>Raw_Data!F130</f>
        <v>1</v>
      </c>
      <c r="G124" s="26">
        <f t="shared" si="4"/>
        <v>3299</v>
      </c>
      <c r="H124" s="24" t="str">
        <f>PROPER(TRIM(Raw_Data!H130))</f>
        <v>Aditya Singh</v>
      </c>
      <c r="I124" s="24" t="str">
        <f>PROPER(TRIM(Raw_Data!I130))</f>
        <v>Delhi</v>
      </c>
      <c r="J124" s="24" t="str">
        <f>TRIM(Raw_Data!J130)</f>
        <v>Credit Card</v>
      </c>
      <c r="K124" s="24" t="str">
        <f>PROPER(TRIM(Raw_Data!K130))</f>
        <v>Delivered</v>
      </c>
      <c r="L124" s="24" t="str">
        <f t="shared" si="5"/>
        <v>Sep</v>
      </c>
      <c r="M124" s="24" t="str">
        <f t="shared" si="6"/>
        <v>Tue</v>
      </c>
      <c r="N124" s="24" t="str">
        <f t="shared" si="7"/>
        <v>Delivered</v>
      </c>
      <c r="O124" s="24" t="str">
        <f>IF(ROUND(G124-Raw_Data!G130,2)=0,"OK","Corrected")</f>
        <v>OK</v>
      </c>
    </row>
    <row r="125" spans="1:15" x14ac:dyDescent="0.3">
      <c r="A125" s="24" t="str">
        <f>TRIM(Raw_Data!A131)</f>
        <v>AMZ-10280</v>
      </c>
      <c r="B125" s="25">
        <f>Raw_Data!B131</f>
        <v>46273</v>
      </c>
      <c r="C125" s="24" t="str">
        <f>PROPER(TRIM(Raw_Data!C131))</f>
        <v>Water Bottle</v>
      </c>
      <c r="D125" s="24" t="str">
        <f>TRIM(Raw_Data!D131)</f>
        <v>Home &amp; Kitchen</v>
      </c>
      <c r="E125" s="26">
        <f>Raw_Data!E131</f>
        <v>499</v>
      </c>
      <c r="F125" s="24">
        <f>Raw_Data!F131</f>
        <v>2</v>
      </c>
      <c r="G125" s="26">
        <f t="shared" si="4"/>
        <v>998</v>
      </c>
      <c r="H125" s="24" t="str">
        <f>PROPER(TRIM(Raw_Data!H131))</f>
        <v>Pooja Gupta</v>
      </c>
      <c r="I125" s="24" t="str">
        <f>PROPER(TRIM(Raw_Data!I131))</f>
        <v>Bangalore</v>
      </c>
      <c r="J125" s="24" t="str">
        <f>TRIM(Raw_Data!J131)</f>
        <v>UPI</v>
      </c>
      <c r="K125" s="24" t="str">
        <f>PROPER(TRIM(Raw_Data!K131))</f>
        <v>Delivered</v>
      </c>
      <c r="L125" s="24" t="str">
        <f t="shared" si="5"/>
        <v>Sep</v>
      </c>
      <c r="M125" s="24" t="str">
        <f t="shared" si="6"/>
        <v>Tue</v>
      </c>
      <c r="N125" s="24" t="str">
        <f t="shared" si="7"/>
        <v>Delivered</v>
      </c>
      <c r="O125" s="24" t="str">
        <f>IF(ROUND(G125-Raw_Data!G131,2)=0,"OK","Corrected")</f>
        <v>OK</v>
      </c>
    </row>
    <row r="126" spans="1:15" x14ac:dyDescent="0.3">
      <c r="A126" s="24" t="str">
        <f>TRIM(Raw_Data!A132)</f>
        <v>AMZ-10362</v>
      </c>
      <c r="B126" s="25">
        <f>Raw_Data!B132</f>
        <v>46273</v>
      </c>
      <c r="C126" s="24" t="str">
        <f>PROPER(TRIM(Raw_Data!C132))</f>
        <v>Casual Sneakers</v>
      </c>
      <c r="D126" s="24" t="str">
        <f>TRIM(Raw_Data!D132)</f>
        <v>Footwear</v>
      </c>
      <c r="E126" s="26">
        <f>Raw_Data!E132</f>
        <v>2199</v>
      </c>
      <c r="F126" s="24">
        <f>Raw_Data!F132</f>
        <v>1</v>
      </c>
      <c r="G126" s="26">
        <f t="shared" si="4"/>
        <v>2199</v>
      </c>
      <c r="H126" s="24" t="str">
        <f>PROPER(TRIM(Raw_Data!H132))</f>
        <v>Ishaan Chopra</v>
      </c>
      <c r="I126" s="24" t="str">
        <f>PROPER(TRIM(Raw_Data!I132))</f>
        <v>Mumbai</v>
      </c>
      <c r="J126" s="24" t="str">
        <f>TRIM(Raw_Data!J132)</f>
        <v>Credit Card</v>
      </c>
      <c r="K126" s="24" t="str">
        <f>PROPER(TRIM(Raw_Data!K132))</f>
        <v>Delivered</v>
      </c>
      <c r="L126" s="24" t="str">
        <f t="shared" si="5"/>
        <v>Sep</v>
      </c>
      <c r="M126" s="24" t="str">
        <f t="shared" si="6"/>
        <v>Tue</v>
      </c>
      <c r="N126" s="24" t="str">
        <f t="shared" si="7"/>
        <v>Delivered</v>
      </c>
      <c r="O126" s="24" t="str">
        <f>IF(ROUND(G126-Raw_Data!G132,2)=0,"OK","Corrected")</f>
        <v>OK</v>
      </c>
    </row>
    <row r="127" spans="1:15" x14ac:dyDescent="0.3">
      <c r="A127" s="24" t="str">
        <f>TRIM(Raw_Data!A133)</f>
        <v>AMZ-10395</v>
      </c>
      <c r="B127" s="25">
        <f>Raw_Data!B133</f>
        <v>46273</v>
      </c>
      <c r="C127" s="24" t="str">
        <f>PROPER(TRIM(Raw_Data!C133))</f>
        <v>Smart Watch</v>
      </c>
      <c r="D127" s="24" t="str">
        <f>TRIM(Raw_Data!D133)</f>
        <v>Electronics</v>
      </c>
      <c r="E127" s="26">
        <f>Raw_Data!E133</f>
        <v>4999</v>
      </c>
      <c r="F127" s="24">
        <f>Raw_Data!F133</f>
        <v>1</v>
      </c>
      <c r="G127" s="26">
        <f t="shared" si="4"/>
        <v>4999</v>
      </c>
      <c r="H127" s="24" t="str">
        <f>PROPER(TRIM(Raw_Data!H133))</f>
        <v>Arjun Chopra</v>
      </c>
      <c r="I127" s="24" t="str">
        <f>PROPER(TRIM(Raw_Data!I133))</f>
        <v>Bangalore</v>
      </c>
      <c r="J127" s="24" t="str">
        <f>TRIM(Raw_Data!J133)</f>
        <v>UPI</v>
      </c>
      <c r="K127" s="24" t="str">
        <f>PROPER(TRIM(Raw_Data!K133))</f>
        <v>Delivered</v>
      </c>
      <c r="L127" s="24" t="str">
        <f t="shared" si="5"/>
        <v>Sep</v>
      </c>
      <c r="M127" s="24" t="str">
        <f t="shared" si="6"/>
        <v>Tue</v>
      </c>
      <c r="N127" s="24" t="str">
        <f t="shared" si="7"/>
        <v>Delivered</v>
      </c>
      <c r="O127" s="24" t="str">
        <f>IF(ROUND(G127-Raw_Data!G133,2)=0,"OK","Corrected")</f>
        <v>OK</v>
      </c>
    </row>
    <row r="128" spans="1:15" x14ac:dyDescent="0.3">
      <c r="A128" s="24" t="str">
        <f>TRIM(Raw_Data!A134)</f>
        <v>AMZ-10407</v>
      </c>
      <c r="B128" s="25">
        <f>Raw_Data!B134</f>
        <v>46273</v>
      </c>
      <c r="C128" s="24" t="str">
        <f>PROPER(TRIM(Raw_Data!C134))</f>
        <v>Denim Jeans</v>
      </c>
      <c r="D128" s="24" t="str">
        <f>TRIM(Raw_Data!D134)</f>
        <v>Clothing</v>
      </c>
      <c r="E128" s="26">
        <f>Raw_Data!E134</f>
        <v>1799</v>
      </c>
      <c r="F128" s="24">
        <f>Raw_Data!F134</f>
        <v>1</v>
      </c>
      <c r="G128" s="26">
        <f t="shared" si="4"/>
        <v>1799</v>
      </c>
      <c r="H128" s="24" t="str">
        <f>PROPER(TRIM(Raw_Data!H134))</f>
        <v>Nikhil Joshi</v>
      </c>
      <c r="I128" s="24" t="str">
        <f>PROPER(TRIM(Raw_Data!I134))</f>
        <v>Lucknow</v>
      </c>
      <c r="J128" s="24" t="str">
        <f>TRIM(Raw_Data!J134)</f>
        <v>Cash On Delivery</v>
      </c>
      <c r="K128" s="24" t="str">
        <f>PROPER(TRIM(Raw_Data!K134))</f>
        <v>Delivered</v>
      </c>
      <c r="L128" s="24" t="str">
        <f t="shared" si="5"/>
        <v>Sep</v>
      </c>
      <c r="M128" s="24" t="str">
        <f t="shared" si="6"/>
        <v>Tue</v>
      </c>
      <c r="N128" s="24" t="str">
        <f t="shared" si="7"/>
        <v>Delivered</v>
      </c>
      <c r="O128" s="24" t="str">
        <f>IF(ROUND(G128-Raw_Data!G134,2)=0,"OK","Corrected")</f>
        <v>OK</v>
      </c>
    </row>
    <row r="129" spans="1:15" x14ac:dyDescent="0.3">
      <c r="A129" s="24" t="str">
        <f>TRIM(Raw_Data!A135)</f>
        <v>AMZ-10428</v>
      </c>
      <c r="B129" s="25">
        <f>Raw_Data!B135</f>
        <v>46273</v>
      </c>
      <c r="C129" s="24" t="str">
        <f>PROPER(TRIM(Raw_Data!C135))</f>
        <v>Water Bottle</v>
      </c>
      <c r="D129" s="24" t="str">
        <f>TRIM(Raw_Data!D135)</f>
        <v>Home &amp; Kitchen</v>
      </c>
      <c r="E129" s="26">
        <f>Raw_Data!E135</f>
        <v>499</v>
      </c>
      <c r="F129" s="24">
        <f>Raw_Data!F135</f>
        <v>1</v>
      </c>
      <c r="G129" s="26">
        <f t="shared" si="4"/>
        <v>499</v>
      </c>
      <c r="H129" s="24" t="str">
        <f>PROPER(TRIM(Raw_Data!H135))</f>
        <v>Kavya Patel</v>
      </c>
      <c r="I129" s="24" t="str">
        <f>PROPER(TRIM(Raw_Data!I135))</f>
        <v>Hyderabad</v>
      </c>
      <c r="J129" s="24" t="str">
        <f>TRIM(Raw_Data!J135)</f>
        <v>UPI</v>
      </c>
      <c r="K129" s="24" t="str">
        <f>PROPER(TRIM(Raw_Data!K135))</f>
        <v>Delivered</v>
      </c>
      <c r="L129" s="24" t="str">
        <f t="shared" si="5"/>
        <v>Sep</v>
      </c>
      <c r="M129" s="24" t="str">
        <f t="shared" si="6"/>
        <v>Tue</v>
      </c>
      <c r="N129" s="24" t="str">
        <f t="shared" si="7"/>
        <v>Delivered</v>
      </c>
      <c r="O129" s="24" t="str">
        <f>IF(ROUND(G129-Raw_Data!G135,2)=0,"OK","Corrected")</f>
        <v>OK</v>
      </c>
    </row>
    <row r="130" spans="1:15" x14ac:dyDescent="0.3">
      <c r="A130" s="24" t="str">
        <f>TRIM(Raw_Data!A136)</f>
        <v>AMZ-10459</v>
      </c>
      <c r="B130" s="25">
        <f>Raw_Data!B136</f>
        <v>46273</v>
      </c>
      <c r="C130" s="24" t="str">
        <f>PROPER(TRIM(Raw_Data!C136))</f>
        <v>Smart Watch</v>
      </c>
      <c r="D130" s="24" t="str">
        <f>TRIM(Raw_Data!D136)</f>
        <v>Electronics</v>
      </c>
      <c r="E130" s="26">
        <f>Raw_Data!E136</f>
        <v>4999</v>
      </c>
      <c r="F130" s="24">
        <f>Raw_Data!F136</f>
        <v>2</v>
      </c>
      <c r="G130" s="26">
        <f t="shared" ref="G130:G193" si="8">E130*F130</f>
        <v>9998</v>
      </c>
      <c r="H130" s="24" t="str">
        <f>PROPER(TRIM(Raw_Data!H136))</f>
        <v>Tanvi Gupta</v>
      </c>
      <c r="I130" s="24" t="str">
        <f>PROPER(TRIM(Raw_Data!I136))</f>
        <v>Hyderabad</v>
      </c>
      <c r="J130" s="24" t="str">
        <f>TRIM(Raw_Data!J136)</f>
        <v>UPI</v>
      </c>
      <c r="K130" s="24" t="str">
        <f>PROPER(TRIM(Raw_Data!K136))</f>
        <v>Shipped</v>
      </c>
      <c r="L130" s="24" t="str">
        <f t="shared" ref="L130:L193" si="9">TEXT(B130,"MMM")</f>
        <v>Sep</v>
      </c>
      <c r="M130" s="24" t="str">
        <f t="shared" ref="M130:M193" si="10">TEXT(B130,"ddd")</f>
        <v>Tue</v>
      </c>
      <c r="N130" s="24" t="str">
        <f t="shared" ref="N130:N193" si="11">IF(K130="Delivered","Delivered",IF(K130="Cancelled","Cancelled","Pending"))</f>
        <v>Pending</v>
      </c>
      <c r="O130" s="24" t="str">
        <f>IF(ROUND(G130-Raw_Data!G136,2)=0,"OK","Corrected")</f>
        <v>OK</v>
      </c>
    </row>
    <row r="131" spans="1:15" x14ac:dyDescent="0.3">
      <c r="A131" s="24" t="str">
        <f>TRIM(Raw_Data!A137)</f>
        <v>AMZ-10467</v>
      </c>
      <c r="B131" s="25">
        <f>Raw_Data!B137</f>
        <v>46273</v>
      </c>
      <c r="C131" s="24" t="str">
        <f>PROPER(TRIM(Raw_Data!C137))</f>
        <v>Power Bank</v>
      </c>
      <c r="D131" s="24" t="str">
        <f>TRIM(Raw_Data!D137)</f>
        <v>Electronics</v>
      </c>
      <c r="E131" s="26">
        <f>Raw_Data!E137</f>
        <v>1299</v>
      </c>
      <c r="F131" s="24">
        <f>Raw_Data!F137</f>
        <v>2</v>
      </c>
      <c r="G131" s="26">
        <f t="shared" si="8"/>
        <v>2598</v>
      </c>
      <c r="H131" s="24" t="str">
        <f>PROPER(TRIM(Raw_Data!H137))</f>
        <v>Vikram Joshi</v>
      </c>
      <c r="I131" s="24" t="str">
        <f>PROPER(TRIM(Raw_Data!I137))</f>
        <v>Hyderabad</v>
      </c>
      <c r="J131" s="24" t="str">
        <f>TRIM(Raw_Data!J137)</f>
        <v>Debit Card</v>
      </c>
      <c r="K131" s="24" t="str">
        <f>PROPER(TRIM(Raw_Data!K137))</f>
        <v>Delivered</v>
      </c>
      <c r="L131" s="24" t="str">
        <f t="shared" si="9"/>
        <v>Sep</v>
      </c>
      <c r="M131" s="24" t="str">
        <f t="shared" si="10"/>
        <v>Tue</v>
      </c>
      <c r="N131" s="24" t="str">
        <f t="shared" si="11"/>
        <v>Delivered</v>
      </c>
      <c r="O131" s="24" t="str">
        <f>IF(ROUND(G131-Raw_Data!G137,2)=0,"OK","Corrected")</f>
        <v>OK</v>
      </c>
    </row>
    <row r="132" spans="1:15" x14ac:dyDescent="0.3">
      <c r="A132" s="24" t="str">
        <f>TRIM(Raw_Data!A138)</f>
        <v>AMZ-10023</v>
      </c>
      <c r="B132" s="25">
        <f>Raw_Data!B138</f>
        <v>46274</v>
      </c>
      <c r="C132" s="24" t="str">
        <f>PROPER(TRIM(Raw_Data!C138))</f>
        <v>Bluetooth Speaker</v>
      </c>
      <c r="D132" s="24" t="str">
        <f>TRIM(Raw_Data!D138)</f>
        <v>Electronics</v>
      </c>
      <c r="E132" s="26">
        <f>Raw_Data!E138</f>
        <v>1999</v>
      </c>
      <c r="F132" s="24">
        <f>Raw_Data!F138</f>
        <v>2</v>
      </c>
      <c r="G132" s="26">
        <f t="shared" si="8"/>
        <v>3998</v>
      </c>
      <c r="H132" s="24" t="str">
        <f>PROPER(TRIM(Raw_Data!H138))</f>
        <v>Ishaan Gupta</v>
      </c>
      <c r="I132" s="24" t="str">
        <f>PROPER(TRIM(Raw_Data!I138))</f>
        <v>Lucknow</v>
      </c>
      <c r="J132" s="24" t="str">
        <f>TRIM(Raw_Data!J138)</f>
        <v>Credit Card</v>
      </c>
      <c r="K132" s="24" t="str">
        <f>PROPER(TRIM(Raw_Data!K138))</f>
        <v>Delivered</v>
      </c>
      <c r="L132" s="24" t="str">
        <f t="shared" si="9"/>
        <v>Sep</v>
      </c>
      <c r="M132" s="24" t="str">
        <f t="shared" si="10"/>
        <v>Wed</v>
      </c>
      <c r="N132" s="24" t="str">
        <f t="shared" si="11"/>
        <v>Delivered</v>
      </c>
      <c r="O132" s="24" t="str">
        <f>IF(ROUND(G132-Raw_Data!G138,2)=0,"OK","Corrected")</f>
        <v>OK</v>
      </c>
    </row>
    <row r="133" spans="1:15" x14ac:dyDescent="0.3">
      <c r="A133" s="24" t="str">
        <f>TRIM(Raw_Data!A139)</f>
        <v>AMZ-10032</v>
      </c>
      <c r="B133" s="25">
        <f>Raw_Data!B139</f>
        <v>46274</v>
      </c>
      <c r="C133" s="24" t="str">
        <f>PROPER(TRIM(Raw_Data!C139))</f>
        <v>Wireless Earbuds</v>
      </c>
      <c r="D133" s="24" t="str">
        <f>TRIM(Raw_Data!D139)</f>
        <v>Electronics</v>
      </c>
      <c r="E133" s="26">
        <f>Raw_Data!E139</f>
        <v>2499</v>
      </c>
      <c r="F133" s="24">
        <f>Raw_Data!F139</f>
        <v>2</v>
      </c>
      <c r="G133" s="26">
        <f t="shared" si="8"/>
        <v>4998</v>
      </c>
      <c r="H133" s="24" t="str">
        <f>PROPER(TRIM(Raw_Data!H139))</f>
        <v>Priya Reddy</v>
      </c>
      <c r="I133" s="24" t="str">
        <f>PROPER(TRIM(Raw_Data!I139))</f>
        <v>Mumbai</v>
      </c>
      <c r="J133" s="24" t="str">
        <f>TRIM(Raw_Data!J139)</f>
        <v>UPI</v>
      </c>
      <c r="K133" s="24" t="str">
        <f>PROPER(TRIM(Raw_Data!K139))</f>
        <v>Delivered</v>
      </c>
      <c r="L133" s="24" t="str">
        <f t="shared" si="9"/>
        <v>Sep</v>
      </c>
      <c r="M133" s="24" t="str">
        <f t="shared" si="10"/>
        <v>Wed</v>
      </c>
      <c r="N133" s="24" t="str">
        <f t="shared" si="11"/>
        <v>Delivered</v>
      </c>
      <c r="O133" s="24" t="str">
        <f>IF(ROUND(G133-Raw_Data!G139,2)=0,"OK","Corrected")</f>
        <v>OK</v>
      </c>
    </row>
    <row r="134" spans="1:15" x14ac:dyDescent="0.3">
      <c r="A134" s="24" t="str">
        <f>TRIM(Raw_Data!A140)</f>
        <v>AMZ-10089</v>
      </c>
      <c r="B134" s="25">
        <f>Raw_Data!B140</f>
        <v>46274</v>
      </c>
      <c r="C134" s="24" t="str">
        <f>PROPER(TRIM(Raw_Data!C140))</f>
        <v>Cotton T-Shirt</v>
      </c>
      <c r="D134" s="24" t="str">
        <f>TRIM(Raw_Data!D140)</f>
        <v>Clothing</v>
      </c>
      <c r="E134" s="26">
        <f>Raw_Data!E140</f>
        <v>599</v>
      </c>
      <c r="F134" s="24">
        <f>Raw_Data!F140</f>
        <v>2</v>
      </c>
      <c r="G134" s="26">
        <f t="shared" si="8"/>
        <v>1198</v>
      </c>
      <c r="H134" s="24" t="str">
        <f>PROPER(TRIM(Raw_Data!H140))</f>
        <v>Aditya Sharma</v>
      </c>
      <c r="I134" s="24" t="str">
        <f>PROPER(TRIM(Raw_Data!I140))</f>
        <v>Ahmedabad</v>
      </c>
      <c r="J134" s="24" t="str">
        <f>TRIM(Raw_Data!J140)</f>
        <v>Cash On Delivery</v>
      </c>
      <c r="K134" s="24" t="str">
        <f>PROPER(TRIM(Raw_Data!K140))</f>
        <v>Delivered</v>
      </c>
      <c r="L134" s="24" t="str">
        <f t="shared" si="9"/>
        <v>Sep</v>
      </c>
      <c r="M134" s="24" t="str">
        <f t="shared" si="10"/>
        <v>Wed</v>
      </c>
      <c r="N134" s="24" t="str">
        <f t="shared" si="11"/>
        <v>Delivered</v>
      </c>
      <c r="O134" s="24" t="str">
        <f>IF(ROUND(G134-Raw_Data!G140,2)=0,"OK","Corrected")</f>
        <v>OK</v>
      </c>
    </row>
    <row r="135" spans="1:15" x14ac:dyDescent="0.3">
      <c r="A135" s="24" t="str">
        <f>TRIM(Raw_Data!A141)</f>
        <v>AMZ-10091</v>
      </c>
      <c r="B135" s="25">
        <f>Raw_Data!B141</f>
        <v>46274</v>
      </c>
      <c r="C135" s="24" t="str">
        <f>PROPER(TRIM(Raw_Data!C141))</f>
        <v>Bluetooth Speaker</v>
      </c>
      <c r="D135" s="24" t="str">
        <f>TRIM(Raw_Data!D141)</f>
        <v>Electronics</v>
      </c>
      <c r="E135" s="26">
        <f>Raw_Data!E141</f>
        <v>1999</v>
      </c>
      <c r="F135" s="24">
        <f>Raw_Data!F141</f>
        <v>1</v>
      </c>
      <c r="G135" s="26">
        <f t="shared" si="8"/>
        <v>1999</v>
      </c>
      <c r="H135" s="24" t="str">
        <f>PROPER(TRIM(Raw_Data!H141))</f>
        <v>Tanvi Verma</v>
      </c>
      <c r="I135" s="24" t="str">
        <f>PROPER(TRIM(Raw_Data!I141))</f>
        <v>Kolkata</v>
      </c>
      <c r="J135" s="24" t="str">
        <f>TRIM(Raw_Data!J141)</f>
        <v>UPI</v>
      </c>
      <c r="K135" s="24" t="str">
        <f>PROPER(TRIM(Raw_Data!K141))</f>
        <v>Pending</v>
      </c>
      <c r="L135" s="24" t="str">
        <f t="shared" si="9"/>
        <v>Sep</v>
      </c>
      <c r="M135" s="24" t="str">
        <f t="shared" si="10"/>
        <v>Wed</v>
      </c>
      <c r="N135" s="24" t="str">
        <f t="shared" si="11"/>
        <v>Pending</v>
      </c>
      <c r="O135" s="24" t="str">
        <f>IF(ROUND(G135-Raw_Data!G141,2)=0,"OK","Corrected")</f>
        <v>OK</v>
      </c>
    </row>
    <row r="136" spans="1:15" x14ac:dyDescent="0.3">
      <c r="A136" s="24" t="str">
        <f>TRIM(Raw_Data!A142)</f>
        <v>AMZ-10098</v>
      </c>
      <c r="B136" s="25">
        <f>Raw_Data!B142</f>
        <v>46274</v>
      </c>
      <c r="C136" s="24" t="str">
        <f>PROPER(TRIM(Raw_Data!C142))</f>
        <v>Bluetooth Speaker</v>
      </c>
      <c r="D136" s="24" t="str">
        <f>TRIM(Raw_Data!D142)</f>
        <v>Electronics</v>
      </c>
      <c r="E136" s="26">
        <f>Raw_Data!E142</f>
        <v>1999</v>
      </c>
      <c r="F136" s="24">
        <f>Raw_Data!F142</f>
        <v>1</v>
      </c>
      <c r="G136" s="26">
        <f t="shared" si="8"/>
        <v>1999</v>
      </c>
      <c r="H136" s="24" t="str">
        <f>PROPER(TRIM(Raw_Data!H142))</f>
        <v>Nikhil Rao</v>
      </c>
      <c r="I136" s="24" t="str">
        <f>PROPER(TRIM(Raw_Data!I142))</f>
        <v>Chennai</v>
      </c>
      <c r="J136" s="24" t="str">
        <f>TRIM(Raw_Data!J142)</f>
        <v>Debit Card</v>
      </c>
      <c r="K136" s="24" t="str">
        <f>PROPER(TRIM(Raw_Data!K142))</f>
        <v>Shipped</v>
      </c>
      <c r="L136" s="24" t="str">
        <f t="shared" si="9"/>
        <v>Sep</v>
      </c>
      <c r="M136" s="24" t="str">
        <f t="shared" si="10"/>
        <v>Wed</v>
      </c>
      <c r="N136" s="24" t="str">
        <f t="shared" si="11"/>
        <v>Pending</v>
      </c>
      <c r="O136" s="24" t="str">
        <f>IF(ROUND(G136-Raw_Data!G142,2)=0,"OK","Corrected")</f>
        <v>OK</v>
      </c>
    </row>
    <row r="137" spans="1:15" x14ac:dyDescent="0.3">
      <c r="A137" s="24" t="str">
        <f>TRIM(Raw_Data!A143)</f>
        <v>AMZ-10111</v>
      </c>
      <c r="B137" s="25">
        <f>Raw_Data!B143</f>
        <v>46274</v>
      </c>
      <c r="C137" s="24" t="str">
        <f>PROPER(TRIM(Raw_Data!C143))</f>
        <v>Casual Sneakers</v>
      </c>
      <c r="D137" s="24" t="str">
        <f>TRIM(Raw_Data!D143)</f>
        <v>Footwear</v>
      </c>
      <c r="E137" s="26">
        <f>Raw_Data!E143</f>
        <v>2199</v>
      </c>
      <c r="F137" s="24">
        <f>Raw_Data!F143</f>
        <v>2</v>
      </c>
      <c r="G137" s="26">
        <f t="shared" si="8"/>
        <v>4398</v>
      </c>
      <c r="H137" s="24" t="str">
        <f>PROPER(TRIM(Raw_Data!H143))</f>
        <v>Vivaan Sharma</v>
      </c>
      <c r="I137" s="24" t="str">
        <f>PROPER(TRIM(Raw_Data!I143))</f>
        <v>Mumbai</v>
      </c>
      <c r="J137" s="24" t="str">
        <f>TRIM(Raw_Data!J143)</f>
        <v>Cash On Delivery</v>
      </c>
      <c r="K137" s="24" t="str">
        <f>PROPER(TRIM(Raw_Data!K143))</f>
        <v>Delivered</v>
      </c>
      <c r="L137" s="24" t="str">
        <f t="shared" si="9"/>
        <v>Sep</v>
      </c>
      <c r="M137" s="24" t="str">
        <f t="shared" si="10"/>
        <v>Wed</v>
      </c>
      <c r="N137" s="24" t="str">
        <f t="shared" si="11"/>
        <v>Delivered</v>
      </c>
      <c r="O137" s="24" t="str">
        <f>IF(ROUND(G137-Raw_Data!G143,2)=0,"OK","Corrected")</f>
        <v>OK</v>
      </c>
    </row>
    <row r="138" spans="1:15" x14ac:dyDescent="0.3">
      <c r="A138" s="24" t="str">
        <f>TRIM(Raw_Data!A144)</f>
        <v>AMZ-10184</v>
      </c>
      <c r="B138" s="25">
        <f>Raw_Data!B144</f>
        <v>46274</v>
      </c>
      <c r="C138" s="24" t="str">
        <f>PROPER(TRIM(Raw_Data!C144))</f>
        <v>Running Shoes</v>
      </c>
      <c r="D138" s="24" t="str">
        <f>TRIM(Raw_Data!D144)</f>
        <v>Footwear</v>
      </c>
      <c r="E138" s="26">
        <f>Raw_Data!E144</f>
        <v>3299</v>
      </c>
      <c r="F138" s="24">
        <f>Raw_Data!F144</f>
        <v>1</v>
      </c>
      <c r="G138" s="26">
        <f t="shared" si="8"/>
        <v>3299</v>
      </c>
      <c r="H138" s="24" t="str">
        <f>PROPER(TRIM(Raw_Data!H144))</f>
        <v>Anjali Verma</v>
      </c>
      <c r="I138" s="24" t="str">
        <f>PROPER(TRIM(Raw_Data!I144))</f>
        <v>Mumbai</v>
      </c>
      <c r="J138" s="24" t="str">
        <f>TRIM(Raw_Data!J144)</f>
        <v>Debit Card</v>
      </c>
      <c r="K138" s="24" t="str">
        <f>PROPER(TRIM(Raw_Data!K144))</f>
        <v>Delivered</v>
      </c>
      <c r="L138" s="24" t="str">
        <f t="shared" si="9"/>
        <v>Sep</v>
      </c>
      <c r="M138" s="24" t="str">
        <f t="shared" si="10"/>
        <v>Wed</v>
      </c>
      <c r="N138" s="24" t="str">
        <f t="shared" si="11"/>
        <v>Delivered</v>
      </c>
      <c r="O138" s="24" t="str">
        <f>IF(ROUND(G138-Raw_Data!G144,2)=0,"OK","Corrected")</f>
        <v>OK</v>
      </c>
    </row>
    <row r="139" spans="1:15" x14ac:dyDescent="0.3">
      <c r="A139" s="24" t="str">
        <f>TRIM(Raw_Data!A145)</f>
        <v>AMZ-10249</v>
      </c>
      <c r="B139" s="25">
        <f>Raw_Data!B145</f>
        <v>46274</v>
      </c>
      <c r="C139" s="24" t="str">
        <f>PROPER(TRIM(Raw_Data!C145))</f>
        <v>Water Bottle</v>
      </c>
      <c r="D139" s="24" t="str">
        <f>TRIM(Raw_Data!D145)</f>
        <v>Home &amp; Kitchen</v>
      </c>
      <c r="E139" s="26">
        <f>Raw_Data!E145</f>
        <v>499</v>
      </c>
      <c r="F139" s="24">
        <f>Raw_Data!F145</f>
        <v>3</v>
      </c>
      <c r="G139" s="26">
        <f t="shared" si="8"/>
        <v>1497</v>
      </c>
      <c r="H139" s="24" t="str">
        <f>PROPER(TRIM(Raw_Data!H145))</f>
        <v>Aarav Joshi</v>
      </c>
      <c r="I139" s="24" t="str">
        <f>PROPER(TRIM(Raw_Data!I145))</f>
        <v>Pune</v>
      </c>
      <c r="J139" s="24" t="str">
        <f>TRIM(Raw_Data!J145)</f>
        <v>UPI</v>
      </c>
      <c r="K139" s="24" t="str">
        <f>PROPER(TRIM(Raw_Data!K145))</f>
        <v>Delivered</v>
      </c>
      <c r="L139" s="24" t="str">
        <f t="shared" si="9"/>
        <v>Sep</v>
      </c>
      <c r="M139" s="24" t="str">
        <f t="shared" si="10"/>
        <v>Wed</v>
      </c>
      <c r="N139" s="24" t="str">
        <f t="shared" si="11"/>
        <v>Delivered</v>
      </c>
      <c r="O139" s="24" t="str">
        <f>IF(ROUND(G139-Raw_Data!G145,2)=0,"OK","Corrected")</f>
        <v>OK</v>
      </c>
    </row>
    <row r="140" spans="1:15" x14ac:dyDescent="0.3">
      <c r="A140" s="24" t="str">
        <f>TRIM(Raw_Data!A146)</f>
        <v>AMZ-10263</v>
      </c>
      <c r="B140" s="25">
        <f>Raw_Data!B146</f>
        <v>46274</v>
      </c>
      <c r="C140" s="24" t="str">
        <f>PROPER(TRIM(Raw_Data!C146))</f>
        <v>Self Help Book</v>
      </c>
      <c r="D140" s="24" t="str">
        <f>TRIM(Raw_Data!D146)</f>
        <v>Books</v>
      </c>
      <c r="E140" s="26">
        <f>Raw_Data!E146</f>
        <v>399</v>
      </c>
      <c r="F140" s="24">
        <f>Raw_Data!F146</f>
        <v>3</v>
      </c>
      <c r="G140" s="26">
        <f t="shared" si="8"/>
        <v>1197</v>
      </c>
      <c r="H140" s="24" t="str">
        <f>PROPER(TRIM(Raw_Data!H146))</f>
        <v>Meera Mehta</v>
      </c>
      <c r="I140" s="24" t="str">
        <f>PROPER(TRIM(Raw_Data!I146))</f>
        <v>Kolkata</v>
      </c>
      <c r="J140" s="24" t="str">
        <f>TRIM(Raw_Data!J146)</f>
        <v>UPI</v>
      </c>
      <c r="K140" s="24" t="str">
        <f>PROPER(TRIM(Raw_Data!K146))</f>
        <v>Delivered</v>
      </c>
      <c r="L140" s="24" t="str">
        <f t="shared" si="9"/>
        <v>Sep</v>
      </c>
      <c r="M140" s="24" t="str">
        <f t="shared" si="10"/>
        <v>Wed</v>
      </c>
      <c r="N140" s="24" t="str">
        <f t="shared" si="11"/>
        <v>Delivered</v>
      </c>
      <c r="O140" s="24" t="str">
        <f>IF(ROUND(G140-Raw_Data!G146,2)=0,"OK","Corrected")</f>
        <v>OK</v>
      </c>
    </row>
    <row r="141" spans="1:15" x14ac:dyDescent="0.3">
      <c r="A141" s="24" t="str">
        <f>TRIM(Raw_Data!A147)</f>
        <v>AMZ-10275</v>
      </c>
      <c r="B141" s="25">
        <f>Raw_Data!B147</f>
        <v>46274</v>
      </c>
      <c r="C141" s="24" t="str">
        <f>PROPER(TRIM(Raw_Data!C147))</f>
        <v>Sandals</v>
      </c>
      <c r="D141" s="24" t="str">
        <f>TRIM(Raw_Data!D147)</f>
        <v>Footwear</v>
      </c>
      <c r="E141" s="26">
        <f>Raw_Data!E147</f>
        <v>899</v>
      </c>
      <c r="F141" s="24">
        <f>Raw_Data!F147</f>
        <v>3</v>
      </c>
      <c r="G141" s="26">
        <f t="shared" si="8"/>
        <v>2697</v>
      </c>
      <c r="H141" s="24" t="str">
        <f>PROPER(TRIM(Raw_Data!H147))</f>
        <v>Anjali Mehta</v>
      </c>
      <c r="I141" s="24" t="str">
        <f>PROPER(TRIM(Raw_Data!I147))</f>
        <v>Mumbai</v>
      </c>
      <c r="J141" s="24" t="str">
        <f>TRIM(Raw_Data!J147)</f>
        <v>Cash On Delivery</v>
      </c>
      <c r="K141" s="24" t="str">
        <f>PROPER(TRIM(Raw_Data!K147))</f>
        <v>Delivered</v>
      </c>
      <c r="L141" s="24" t="str">
        <f t="shared" si="9"/>
        <v>Sep</v>
      </c>
      <c r="M141" s="24" t="str">
        <f t="shared" si="10"/>
        <v>Wed</v>
      </c>
      <c r="N141" s="24" t="str">
        <f t="shared" si="11"/>
        <v>Delivered</v>
      </c>
      <c r="O141" s="24" t="str">
        <f>IF(ROUND(G141-Raw_Data!G147,2)=0,"OK","Corrected")</f>
        <v>OK</v>
      </c>
    </row>
    <row r="142" spans="1:15" x14ac:dyDescent="0.3">
      <c r="A142" s="24" t="str">
        <f>TRIM(Raw_Data!A148)</f>
        <v>AMZ-10292</v>
      </c>
      <c r="B142" s="25">
        <f>Raw_Data!B148</f>
        <v>46274</v>
      </c>
      <c r="C142" s="24" t="str">
        <f>PROPER(TRIM(Raw_Data!C148))</f>
        <v>Wireless Earbuds</v>
      </c>
      <c r="D142" s="24" t="str">
        <f>TRIM(Raw_Data!D148)</f>
        <v>Electronics</v>
      </c>
      <c r="E142" s="26">
        <f>Raw_Data!E148</f>
        <v>2499</v>
      </c>
      <c r="F142" s="24">
        <f>Raw_Data!F148</f>
        <v>2</v>
      </c>
      <c r="G142" s="26">
        <f t="shared" si="8"/>
        <v>4998</v>
      </c>
      <c r="H142" s="24" t="str">
        <f>PROPER(TRIM(Raw_Data!H148))</f>
        <v>Priya Iyer</v>
      </c>
      <c r="I142" s="24" t="str">
        <f>PROPER(TRIM(Raw_Data!I148))</f>
        <v>Delhi</v>
      </c>
      <c r="J142" s="24" t="str">
        <f>TRIM(Raw_Data!J148)</f>
        <v>Debit Card</v>
      </c>
      <c r="K142" s="24" t="str">
        <f>PROPER(TRIM(Raw_Data!K148))</f>
        <v>Cancelled</v>
      </c>
      <c r="L142" s="24" t="str">
        <f t="shared" si="9"/>
        <v>Sep</v>
      </c>
      <c r="M142" s="24" t="str">
        <f t="shared" si="10"/>
        <v>Wed</v>
      </c>
      <c r="N142" s="24" t="str">
        <f t="shared" si="11"/>
        <v>Cancelled</v>
      </c>
      <c r="O142" s="24" t="str">
        <f>IF(ROUND(G142-Raw_Data!G148,2)=0,"OK","Corrected")</f>
        <v>OK</v>
      </c>
    </row>
    <row r="143" spans="1:15" x14ac:dyDescent="0.3">
      <c r="A143" s="24" t="str">
        <f>TRIM(Raw_Data!A149)</f>
        <v>AMZ-10306</v>
      </c>
      <c r="B143" s="25">
        <f>Raw_Data!B149</f>
        <v>46274</v>
      </c>
      <c r="C143" s="24" t="str">
        <f>PROPER(TRIM(Raw_Data!C149))</f>
        <v>Casual Sneakers</v>
      </c>
      <c r="D143" s="24" t="str">
        <f>TRIM(Raw_Data!D149)</f>
        <v>Footwear</v>
      </c>
      <c r="E143" s="26">
        <f>Raw_Data!E149</f>
        <v>2199</v>
      </c>
      <c r="F143" s="24">
        <f>Raw_Data!F149</f>
        <v>1</v>
      </c>
      <c r="G143" s="26">
        <f t="shared" si="8"/>
        <v>2199</v>
      </c>
      <c r="H143" s="24" t="str">
        <f>PROPER(TRIM(Raw_Data!H149))</f>
        <v>Priya Das</v>
      </c>
      <c r="I143" s="24" t="str">
        <f>PROPER(TRIM(Raw_Data!I149))</f>
        <v>Hyderabad</v>
      </c>
      <c r="J143" s="24" t="str">
        <f>TRIM(Raw_Data!J149)</f>
        <v>Cash On Delivery</v>
      </c>
      <c r="K143" s="24" t="str">
        <f>PROPER(TRIM(Raw_Data!K149))</f>
        <v>Delivered</v>
      </c>
      <c r="L143" s="24" t="str">
        <f t="shared" si="9"/>
        <v>Sep</v>
      </c>
      <c r="M143" s="24" t="str">
        <f t="shared" si="10"/>
        <v>Wed</v>
      </c>
      <c r="N143" s="24" t="str">
        <f t="shared" si="11"/>
        <v>Delivered</v>
      </c>
      <c r="O143" s="24" t="str">
        <f>IF(ROUND(G143-Raw_Data!G149,2)=0,"OK","Corrected")</f>
        <v>OK</v>
      </c>
    </row>
    <row r="144" spans="1:15" x14ac:dyDescent="0.3">
      <c r="A144" s="24" t="str">
        <f>TRIM(Raw_Data!A150)</f>
        <v>AMZ-10343</v>
      </c>
      <c r="B144" s="25">
        <f>Raw_Data!B150</f>
        <v>46274</v>
      </c>
      <c r="C144" s="24" t="str">
        <f>PROPER(TRIM(Raw_Data!C150))</f>
        <v>Power Bank</v>
      </c>
      <c r="D144" s="24" t="str">
        <f>TRIM(Raw_Data!D150)</f>
        <v>Electronics</v>
      </c>
      <c r="E144" s="26">
        <f>Raw_Data!E150</f>
        <v>1299</v>
      </c>
      <c r="F144" s="24">
        <f>Raw_Data!F150</f>
        <v>1</v>
      </c>
      <c r="G144" s="26">
        <f t="shared" si="8"/>
        <v>1299</v>
      </c>
      <c r="H144" s="24" t="str">
        <f>PROPER(TRIM(Raw_Data!H150))</f>
        <v>Tanvi Gupta</v>
      </c>
      <c r="I144" s="24" t="str">
        <f>PROPER(TRIM(Raw_Data!I150))</f>
        <v>Hyderabad</v>
      </c>
      <c r="J144" s="24" t="str">
        <f>TRIM(Raw_Data!J150)</f>
        <v>Net Banking</v>
      </c>
      <c r="K144" s="24" t="str">
        <f>PROPER(TRIM(Raw_Data!K150))</f>
        <v>Delivered</v>
      </c>
      <c r="L144" s="24" t="str">
        <f t="shared" si="9"/>
        <v>Sep</v>
      </c>
      <c r="M144" s="24" t="str">
        <f t="shared" si="10"/>
        <v>Wed</v>
      </c>
      <c r="N144" s="24" t="str">
        <f t="shared" si="11"/>
        <v>Delivered</v>
      </c>
      <c r="O144" s="24" t="str">
        <f>IF(ROUND(G144-Raw_Data!G150,2)=0,"OK","Corrected")</f>
        <v>OK</v>
      </c>
    </row>
    <row r="145" spans="1:15" x14ac:dyDescent="0.3">
      <c r="A145" s="24" t="str">
        <f>TRIM(Raw_Data!A151)</f>
        <v>AMZ-10376</v>
      </c>
      <c r="B145" s="25">
        <f>Raw_Data!B151</f>
        <v>46274</v>
      </c>
      <c r="C145" s="24" t="str">
        <f>PROPER(TRIM(Raw_Data!C151))</f>
        <v>Air Fryer</v>
      </c>
      <c r="D145" s="24" t="str">
        <f>TRIM(Raw_Data!D151)</f>
        <v>Home &amp; Kitchen</v>
      </c>
      <c r="E145" s="26">
        <f>Raw_Data!E151</f>
        <v>5999</v>
      </c>
      <c r="F145" s="24">
        <f>Raw_Data!F151</f>
        <v>2</v>
      </c>
      <c r="G145" s="26">
        <f t="shared" si="8"/>
        <v>11998</v>
      </c>
      <c r="H145" s="24" t="str">
        <f>PROPER(TRIM(Raw_Data!H151))</f>
        <v>Aditya Kulkarni</v>
      </c>
      <c r="I145" s="24" t="str">
        <f>PROPER(TRIM(Raw_Data!I151))</f>
        <v>Bangalore</v>
      </c>
      <c r="J145" s="24" t="str">
        <f>TRIM(Raw_Data!J151)</f>
        <v>UPI</v>
      </c>
      <c r="K145" s="24" t="str">
        <f>PROPER(TRIM(Raw_Data!K151))</f>
        <v>Delivered</v>
      </c>
      <c r="L145" s="24" t="str">
        <f t="shared" si="9"/>
        <v>Sep</v>
      </c>
      <c r="M145" s="24" t="str">
        <f t="shared" si="10"/>
        <v>Wed</v>
      </c>
      <c r="N145" s="24" t="str">
        <f t="shared" si="11"/>
        <v>Delivered</v>
      </c>
      <c r="O145" s="24" t="str">
        <f>IF(ROUND(G145-Raw_Data!G151,2)=0,"OK","Corrected")</f>
        <v>OK</v>
      </c>
    </row>
    <row r="146" spans="1:15" x14ac:dyDescent="0.3">
      <c r="A146" s="24" t="str">
        <f>TRIM(Raw_Data!A152)</f>
        <v>AMZ-10384</v>
      </c>
      <c r="B146" s="25">
        <f>Raw_Data!B152</f>
        <v>46274</v>
      </c>
      <c r="C146" s="24" t="str">
        <f>PROPER(TRIM(Raw_Data!C152))</f>
        <v>Cotton T-Shirt</v>
      </c>
      <c r="D146" s="24" t="str">
        <f>TRIM(Raw_Data!D152)</f>
        <v>Clothing</v>
      </c>
      <c r="E146" s="26">
        <f>Raw_Data!E152</f>
        <v>599</v>
      </c>
      <c r="F146" s="24">
        <f>Raw_Data!F152</f>
        <v>2</v>
      </c>
      <c r="G146" s="26">
        <f t="shared" si="8"/>
        <v>1198</v>
      </c>
      <c r="H146" s="24" t="str">
        <f>PROPER(TRIM(Raw_Data!H152))</f>
        <v>Aarav Joshi</v>
      </c>
      <c r="I146" s="24" t="str">
        <f>PROPER(TRIM(Raw_Data!I152))</f>
        <v>Pune</v>
      </c>
      <c r="J146" s="24" t="str">
        <f>TRIM(Raw_Data!J152)</f>
        <v>Credit Card</v>
      </c>
      <c r="K146" s="24" t="str">
        <f>PROPER(TRIM(Raw_Data!K152))</f>
        <v>Delivered</v>
      </c>
      <c r="L146" s="24" t="str">
        <f t="shared" si="9"/>
        <v>Sep</v>
      </c>
      <c r="M146" s="24" t="str">
        <f t="shared" si="10"/>
        <v>Wed</v>
      </c>
      <c r="N146" s="24" t="str">
        <f t="shared" si="11"/>
        <v>Delivered</v>
      </c>
      <c r="O146" s="24" t="str">
        <f>IF(ROUND(G146-Raw_Data!G152,2)=0,"OK","Corrected")</f>
        <v>OK</v>
      </c>
    </row>
    <row r="147" spans="1:15" x14ac:dyDescent="0.3">
      <c r="A147" s="24" t="str">
        <f>TRIM(Raw_Data!A153)</f>
        <v>AMZ-10004</v>
      </c>
      <c r="B147" s="25">
        <f>Raw_Data!B153</f>
        <v>46275</v>
      </c>
      <c r="C147" s="24" t="str">
        <f>PROPER(TRIM(Raw_Data!C153))</f>
        <v>Python Programming Book</v>
      </c>
      <c r="D147" s="24" t="str">
        <f>TRIM(Raw_Data!D153)</f>
        <v>Books</v>
      </c>
      <c r="E147" s="26">
        <f>Raw_Data!E153</f>
        <v>699</v>
      </c>
      <c r="F147" s="24">
        <f>Raw_Data!F153</f>
        <v>2</v>
      </c>
      <c r="G147" s="26">
        <f t="shared" si="8"/>
        <v>1398</v>
      </c>
      <c r="H147" s="24" t="str">
        <f>PROPER(TRIM(Raw_Data!H153))</f>
        <v>Sneha Singh</v>
      </c>
      <c r="I147" s="24" t="str">
        <f>PROPER(TRIM(Raw_Data!I153))</f>
        <v>Mumbai</v>
      </c>
      <c r="J147" s="24" t="str">
        <f>TRIM(Raw_Data!J153)</f>
        <v>Credit Card</v>
      </c>
      <c r="K147" s="24" t="str">
        <f>PROPER(TRIM(Raw_Data!K153))</f>
        <v>Delivered</v>
      </c>
      <c r="L147" s="24" t="str">
        <f t="shared" si="9"/>
        <v>Sep</v>
      </c>
      <c r="M147" s="24" t="str">
        <f t="shared" si="10"/>
        <v>Thu</v>
      </c>
      <c r="N147" s="24" t="str">
        <f t="shared" si="11"/>
        <v>Delivered</v>
      </c>
      <c r="O147" s="24" t="str">
        <f>IF(ROUND(G147-Raw_Data!G153,2)=0,"OK","Corrected")</f>
        <v>OK</v>
      </c>
    </row>
    <row r="148" spans="1:15" x14ac:dyDescent="0.3">
      <c r="A148" s="24" t="str">
        <f>TRIM(Raw_Data!A154)</f>
        <v>AMZ-10094</v>
      </c>
      <c r="B148" s="25">
        <f>Raw_Data!B154</f>
        <v>46275</v>
      </c>
      <c r="C148" s="24" t="str">
        <f>PROPER(TRIM(Raw_Data!C154))</f>
        <v>Sandals</v>
      </c>
      <c r="D148" s="24" t="str">
        <f>TRIM(Raw_Data!D154)</f>
        <v>Footwear</v>
      </c>
      <c r="E148" s="26">
        <f>Raw_Data!E154</f>
        <v>899</v>
      </c>
      <c r="F148" s="24">
        <f>Raw_Data!F154</f>
        <v>2</v>
      </c>
      <c r="G148" s="26">
        <f t="shared" si="8"/>
        <v>1798</v>
      </c>
      <c r="H148" s="24" t="str">
        <f>PROPER(TRIM(Raw_Data!H154))</f>
        <v>Aditya Sharma</v>
      </c>
      <c r="I148" s="24" t="str">
        <f>PROPER(TRIM(Raw_Data!I154))</f>
        <v>Ahmedabad</v>
      </c>
      <c r="J148" s="24" t="str">
        <f>TRIM(Raw_Data!J154)</f>
        <v>UPI</v>
      </c>
      <c r="K148" s="24" t="str">
        <f>PROPER(TRIM(Raw_Data!K154))</f>
        <v>Delivered</v>
      </c>
      <c r="L148" s="24" t="str">
        <f t="shared" si="9"/>
        <v>Sep</v>
      </c>
      <c r="M148" s="24" t="str">
        <f t="shared" si="10"/>
        <v>Thu</v>
      </c>
      <c r="N148" s="24" t="str">
        <f t="shared" si="11"/>
        <v>Delivered</v>
      </c>
      <c r="O148" s="24" t="str">
        <f>IF(ROUND(G148-Raw_Data!G154,2)=0,"OK","Corrected")</f>
        <v>OK</v>
      </c>
    </row>
    <row r="149" spans="1:15" x14ac:dyDescent="0.3">
      <c r="A149" s="24" t="str">
        <f>TRIM(Raw_Data!A155)</f>
        <v>AMZ-10110</v>
      </c>
      <c r="B149" s="25">
        <f>Raw_Data!B155</f>
        <v>46275</v>
      </c>
      <c r="C149" s="24" t="str">
        <f>PROPER(TRIM(Raw_Data!C155))</f>
        <v>Mixer Grinder</v>
      </c>
      <c r="D149" s="24" t="str">
        <f>TRIM(Raw_Data!D155)</f>
        <v>Home &amp; Kitchen</v>
      </c>
      <c r="E149" s="26">
        <f>Raw_Data!E155</f>
        <v>3499</v>
      </c>
      <c r="F149" s="24">
        <f>Raw_Data!F155</f>
        <v>1</v>
      </c>
      <c r="G149" s="26">
        <f t="shared" si="8"/>
        <v>3499</v>
      </c>
      <c r="H149" s="24" t="str">
        <f>PROPER(TRIM(Raw_Data!H155))</f>
        <v>Ishaan Chopra</v>
      </c>
      <c r="I149" s="24" t="str">
        <f>PROPER(TRIM(Raw_Data!I155))</f>
        <v>Mumbai</v>
      </c>
      <c r="J149" s="24" t="str">
        <f>TRIM(Raw_Data!J155)</f>
        <v>Debit Card</v>
      </c>
      <c r="K149" s="24" t="str">
        <f>PROPER(TRIM(Raw_Data!K155))</f>
        <v>Delivered</v>
      </c>
      <c r="L149" s="24" t="str">
        <f t="shared" si="9"/>
        <v>Sep</v>
      </c>
      <c r="M149" s="24" t="str">
        <f t="shared" si="10"/>
        <v>Thu</v>
      </c>
      <c r="N149" s="24" t="str">
        <f t="shared" si="11"/>
        <v>Delivered</v>
      </c>
      <c r="O149" s="24" t="str">
        <f>IF(ROUND(G149-Raw_Data!G155,2)=0,"OK","Corrected")</f>
        <v>OK</v>
      </c>
    </row>
    <row r="150" spans="1:15" x14ac:dyDescent="0.3">
      <c r="A150" s="24" t="str">
        <f>TRIM(Raw_Data!A156)</f>
        <v>AMZ-10121</v>
      </c>
      <c r="B150" s="25">
        <f>Raw_Data!B156</f>
        <v>46275</v>
      </c>
      <c r="C150" s="24" t="str">
        <f>PROPER(TRIM(Raw_Data!C156))</f>
        <v>Bluetooth Speaker</v>
      </c>
      <c r="D150" s="24" t="str">
        <f>TRIM(Raw_Data!D156)</f>
        <v>Electronics</v>
      </c>
      <c r="E150" s="26">
        <f>Raw_Data!E156</f>
        <v>1999</v>
      </c>
      <c r="F150" s="24">
        <f>Raw_Data!F156</f>
        <v>1</v>
      </c>
      <c r="G150" s="26">
        <f t="shared" si="8"/>
        <v>1999</v>
      </c>
      <c r="H150" s="24" t="str">
        <f>PROPER(TRIM(Raw_Data!H156))</f>
        <v>Nikhil Reddy</v>
      </c>
      <c r="I150" s="24" t="str">
        <f>PROPER(TRIM(Raw_Data!I156))</f>
        <v>Chennai</v>
      </c>
      <c r="J150" s="24" t="str">
        <f>TRIM(Raw_Data!J156)</f>
        <v>Debit Card</v>
      </c>
      <c r="K150" s="24" t="str">
        <f>PROPER(TRIM(Raw_Data!K156))</f>
        <v>Delivered</v>
      </c>
      <c r="L150" s="24" t="str">
        <f t="shared" si="9"/>
        <v>Sep</v>
      </c>
      <c r="M150" s="24" t="str">
        <f t="shared" si="10"/>
        <v>Thu</v>
      </c>
      <c r="N150" s="24" t="str">
        <f t="shared" si="11"/>
        <v>Delivered</v>
      </c>
      <c r="O150" s="24" t="str">
        <f>IF(ROUND(G150-Raw_Data!G156,2)=0,"OK","Corrected")</f>
        <v>OK</v>
      </c>
    </row>
    <row r="151" spans="1:15" x14ac:dyDescent="0.3">
      <c r="A151" s="24" t="str">
        <f>TRIM(Raw_Data!A157)</f>
        <v>AMZ-10132</v>
      </c>
      <c r="B151" s="25">
        <f>Raw_Data!B157</f>
        <v>46275</v>
      </c>
      <c r="C151" s="24" t="str">
        <f>PROPER(TRIM(Raw_Data!C157))</f>
        <v>Self Help Book</v>
      </c>
      <c r="D151" s="24" t="str">
        <f>TRIM(Raw_Data!D157)</f>
        <v>Books</v>
      </c>
      <c r="E151" s="26">
        <f>Raw_Data!E157</f>
        <v>399</v>
      </c>
      <c r="F151" s="24">
        <f>Raw_Data!F157</f>
        <v>1</v>
      </c>
      <c r="G151" s="26">
        <f t="shared" si="8"/>
        <v>399</v>
      </c>
      <c r="H151" s="24" t="str">
        <f>PROPER(TRIM(Raw_Data!H157))</f>
        <v>Aarav Das</v>
      </c>
      <c r="I151" s="24" t="str">
        <f>PROPER(TRIM(Raw_Data!I157))</f>
        <v>Jaipur</v>
      </c>
      <c r="J151" s="24" t="str">
        <f>TRIM(Raw_Data!J157)</f>
        <v>Debit Card</v>
      </c>
      <c r="K151" s="24" t="str">
        <f>PROPER(TRIM(Raw_Data!K157))</f>
        <v>Cancelled</v>
      </c>
      <c r="L151" s="24" t="str">
        <f t="shared" si="9"/>
        <v>Sep</v>
      </c>
      <c r="M151" s="24" t="str">
        <f t="shared" si="10"/>
        <v>Thu</v>
      </c>
      <c r="N151" s="24" t="str">
        <f t="shared" si="11"/>
        <v>Cancelled</v>
      </c>
      <c r="O151" s="24" t="str">
        <f>IF(ROUND(G151-Raw_Data!G157,2)=0,"OK","Corrected")</f>
        <v>OK</v>
      </c>
    </row>
    <row r="152" spans="1:15" x14ac:dyDescent="0.3">
      <c r="A152" s="24" t="str">
        <f>TRIM(Raw_Data!A158)</f>
        <v>AMZ-10152</v>
      </c>
      <c r="B152" s="25">
        <f>Raw_Data!B158</f>
        <v>46275</v>
      </c>
      <c r="C152" s="24" t="str">
        <f>PROPER(TRIM(Raw_Data!C158))</f>
        <v>Running Shoes</v>
      </c>
      <c r="D152" s="24" t="str">
        <f>TRIM(Raw_Data!D158)</f>
        <v>Footwear</v>
      </c>
      <c r="E152" s="26">
        <f>Raw_Data!E158</f>
        <v>3299</v>
      </c>
      <c r="F152" s="24">
        <f>Raw_Data!F158</f>
        <v>1</v>
      </c>
      <c r="G152" s="26">
        <f t="shared" si="8"/>
        <v>3299</v>
      </c>
      <c r="H152" s="24" t="str">
        <f>PROPER(TRIM(Raw_Data!H158))</f>
        <v>Sneha Reddy</v>
      </c>
      <c r="I152" s="24" t="str">
        <f>PROPER(TRIM(Raw_Data!I158))</f>
        <v>Pune</v>
      </c>
      <c r="J152" s="24" t="str">
        <f>TRIM(Raw_Data!J158)</f>
        <v>UPI</v>
      </c>
      <c r="K152" s="24" t="str">
        <f>PROPER(TRIM(Raw_Data!K158))</f>
        <v>Cancelled</v>
      </c>
      <c r="L152" s="24" t="str">
        <f t="shared" si="9"/>
        <v>Sep</v>
      </c>
      <c r="M152" s="24" t="str">
        <f t="shared" si="10"/>
        <v>Thu</v>
      </c>
      <c r="N152" s="24" t="str">
        <f t="shared" si="11"/>
        <v>Cancelled</v>
      </c>
      <c r="O152" s="24" t="str">
        <f>IF(ROUND(G152-Raw_Data!G158,2)=0,"OK","Corrected")</f>
        <v>OK</v>
      </c>
    </row>
    <row r="153" spans="1:15" x14ac:dyDescent="0.3">
      <c r="A153" s="24" t="str">
        <f>TRIM(Raw_Data!A159)</f>
        <v>AMZ-10167</v>
      </c>
      <c r="B153" s="25">
        <f>Raw_Data!B159</f>
        <v>46275</v>
      </c>
      <c r="C153" s="24" t="str">
        <f>PROPER(TRIM(Raw_Data!C159))</f>
        <v>Smart Watch</v>
      </c>
      <c r="D153" s="24" t="str">
        <f>TRIM(Raw_Data!D159)</f>
        <v>Electronics</v>
      </c>
      <c r="E153" s="26">
        <f>Raw_Data!E159</f>
        <v>4999</v>
      </c>
      <c r="F153" s="24">
        <f>Raw_Data!F159</f>
        <v>1</v>
      </c>
      <c r="G153" s="26">
        <f t="shared" si="8"/>
        <v>4999</v>
      </c>
      <c r="H153" s="24" t="str">
        <f>PROPER(TRIM(Raw_Data!H159))</f>
        <v>Aditya Iyer</v>
      </c>
      <c r="I153" s="24" t="str">
        <f>PROPER(TRIM(Raw_Data!I159))</f>
        <v>Mumbai</v>
      </c>
      <c r="J153" s="24" t="str">
        <f>TRIM(Raw_Data!J159)</f>
        <v>Net Banking</v>
      </c>
      <c r="K153" s="24" t="str">
        <f>PROPER(TRIM(Raw_Data!K159))</f>
        <v>Delivered</v>
      </c>
      <c r="L153" s="24" t="str">
        <f t="shared" si="9"/>
        <v>Sep</v>
      </c>
      <c r="M153" s="24" t="str">
        <f t="shared" si="10"/>
        <v>Thu</v>
      </c>
      <c r="N153" s="24" t="str">
        <f t="shared" si="11"/>
        <v>Delivered</v>
      </c>
      <c r="O153" s="24" t="str">
        <f>IF(ROUND(G153-Raw_Data!G159,2)=0,"OK","Corrected")</f>
        <v>OK</v>
      </c>
    </row>
    <row r="154" spans="1:15" x14ac:dyDescent="0.3">
      <c r="A154" s="24" t="str">
        <f>TRIM(Raw_Data!A160)</f>
        <v>AMZ-10229</v>
      </c>
      <c r="B154" s="25">
        <f>Raw_Data!B160</f>
        <v>46275</v>
      </c>
      <c r="C154" s="24" t="str">
        <f>PROPER(TRIM(Raw_Data!C160))</f>
        <v>Mixer Grinder</v>
      </c>
      <c r="D154" s="24" t="str">
        <f>TRIM(Raw_Data!D160)</f>
        <v>Home &amp; Kitchen</v>
      </c>
      <c r="E154" s="26">
        <f>Raw_Data!E160</f>
        <v>3499</v>
      </c>
      <c r="F154" s="24">
        <f>Raw_Data!F160</f>
        <v>1</v>
      </c>
      <c r="G154" s="26">
        <f t="shared" si="8"/>
        <v>3499</v>
      </c>
      <c r="H154" s="24" t="str">
        <f>PROPER(TRIM(Raw_Data!H160))</f>
        <v>Meera Rao</v>
      </c>
      <c r="I154" s="24" t="str">
        <f>PROPER(TRIM(Raw_Data!I160))</f>
        <v>Delhi</v>
      </c>
      <c r="J154" s="24" t="str">
        <f>TRIM(Raw_Data!J160)</f>
        <v>Net Banking</v>
      </c>
      <c r="K154" s="24" t="str">
        <f>PROPER(TRIM(Raw_Data!K160))</f>
        <v>Delivered</v>
      </c>
      <c r="L154" s="24" t="str">
        <f t="shared" si="9"/>
        <v>Sep</v>
      </c>
      <c r="M154" s="24" t="str">
        <f t="shared" si="10"/>
        <v>Thu</v>
      </c>
      <c r="N154" s="24" t="str">
        <f t="shared" si="11"/>
        <v>Delivered</v>
      </c>
      <c r="O154" s="24" t="str">
        <f>IF(ROUND(G154-Raw_Data!G160,2)=0,"OK","Corrected")</f>
        <v>OK</v>
      </c>
    </row>
    <row r="155" spans="1:15" x14ac:dyDescent="0.3">
      <c r="A155" s="24" t="str">
        <f>TRIM(Raw_Data!A161)</f>
        <v>AMZ-10230</v>
      </c>
      <c r="B155" s="25">
        <f>Raw_Data!B161</f>
        <v>46275</v>
      </c>
      <c r="C155" s="24" t="str">
        <f>PROPER(TRIM(Raw_Data!C161))</f>
        <v>Casual Sneakers</v>
      </c>
      <c r="D155" s="24" t="str">
        <f>TRIM(Raw_Data!D161)</f>
        <v>Footwear</v>
      </c>
      <c r="E155" s="26">
        <f>Raw_Data!E161</f>
        <v>2199</v>
      </c>
      <c r="F155" s="24">
        <f>Raw_Data!F161</f>
        <v>1</v>
      </c>
      <c r="G155" s="26">
        <f t="shared" si="8"/>
        <v>2199</v>
      </c>
      <c r="H155" s="24" t="str">
        <f>PROPER(TRIM(Raw_Data!H161))</f>
        <v>Aditya Sharma</v>
      </c>
      <c r="I155" s="24" t="str">
        <f>PROPER(TRIM(Raw_Data!I161))</f>
        <v>Ahmedabad</v>
      </c>
      <c r="J155" s="24" t="str">
        <f>TRIM(Raw_Data!J161)</f>
        <v>Credit Card</v>
      </c>
      <c r="K155" s="24" t="str">
        <f>PROPER(TRIM(Raw_Data!K161))</f>
        <v>Delivered</v>
      </c>
      <c r="L155" s="24" t="str">
        <f t="shared" si="9"/>
        <v>Sep</v>
      </c>
      <c r="M155" s="24" t="str">
        <f t="shared" si="10"/>
        <v>Thu</v>
      </c>
      <c r="N155" s="24" t="str">
        <f t="shared" si="11"/>
        <v>Delivered</v>
      </c>
      <c r="O155" s="24" t="str">
        <f>IF(ROUND(G155-Raw_Data!G161,2)=0,"OK","Corrected")</f>
        <v>OK</v>
      </c>
    </row>
    <row r="156" spans="1:15" x14ac:dyDescent="0.3">
      <c r="A156" s="24" t="str">
        <f>TRIM(Raw_Data!A162)</f>
        <v>AMZ-10243</v>
      </c>
      <c r="B156" s="25">
        <f>Raw_Data!B162</f>
        <v>46275</v>
      </c>
      <c r="C156" s="24" t="str">
        <f>PROPER(TRIM(Raw_Data!C162))</f>
        <v>Python Programming Book</v>
      </c>
      <c r="D156" s="24" t="str">
        <f>TRIM(Raw_Data!D162)</f>
        <v>Books</v>
      </c>
      <c r="E156" s="26">
        <f>Raw_Data!E162</f>
        <v>699</v>
      </c>
      <c r="F156" s="24">
        <f>Raw_Data!F162</f>
        <v>1</v>
      </c>
      <c r="G156" s="26">
        <f t="shared" si="8"/>
        <v>699</v>
      </c>
      <c r="H156" s="24" t="str">
        <f>PROPER(TRIM(Raw_Data!H162))</f>
        <v>Anjali Mehta</v>
      </c>
      <c r="I156" s="24" t="str">
        <f>PROPER(TRIM(Raw_Data!I162))</f>
        <v>Mumbai</v>
      </c>
      <c r="J156" s="24" t="str">
        <f>TRIM(Raw_Data!J162)</f>
        <v>UPI</v>
      </c>
      <c r="K156" s="24" t="str">
        <f>PROPER(TRIM(Raw_Data!K162))</f>
        <v>Delivered</v>
      </c>
      <c r="L156" s="24" t="str">
        <f t="shared" si="9"/>
        <v>Sep</v>
      </c>
      <c r="M156" s="24" t="str">
        <f t="shared" si="10"/>
        <v>Thu</v>
      </c>
      <c r="N156" s="24" t="str">
        <f t="shared" si="11"/>
        <v>Delivered</v>
      </c>
      <c r="O156" s="24" t="str">
        <f>IF(ROUND(G156-Raw_Data!G162,2)=0,"OK","Corrected")</f>
        <v>OK</v>
      </c>
    </row>
    <row r="157" spans="1:15" x14ac:dyDescent="0.3">
      <c r="A157" s="24" t="str">
        <f>TRIM(Raw_Data!A163)</f>
        <v>AMZ-10261</v>
      </c>
      <c r="B157" s="25">
        <f>Raw_Data!B163</f>
        <v>46275</v>
      </c>
      <c r="C157" s="24" t="str">
        <f>PROPER(TRIM(Raw_Data!C163))</f>
        <v>Bluetooth Speaker</v>
      </c>
      <c r="D157" s="24" t="str">
        <f>TRIM(Raw_Data!D163)</f>
        <v>Electronics</v>
      </c>
      <c r="E157" s="26">
        <f>Raw_Data!E163</f>
        <v>1999</v>
      </c>
      <c r="F157" s="24">
        <f>Raw_Data!F163</f>
        <v>1</v>
      </c>
      <c r="G157" s="26">
        <f t="shared" si="8"/>
        <v>1999</v>
      </c>
      <c r="H157" s="24" t="str">
        <f>PROPER(TRIM(Raw_Data!H163))</f>
        <v>Vivaan Sharma</v>
      </c>
      <c r="I157" s="24" t="str">
        <f>PROPER(TRIM(Raw_Data!I163))</f>
        <v>Mumbai</v>
      </c>
      <c r="J157" s="24" t="str">
        <f>TRIM(Raw_Data!J163)</f>
        <v>Credit Card</v>
      </c>
      <c r="K157" s="24" t="str">
        <f>PROPER(TRIM(Raw_Data!K163))</f>
        <v>Shipped</v>
      </c>
      <c r="L157" s="24" t="str">
        <f t="shared" si="9"/>
        <v>Sep</v>
      </c>
      <c r="M157" s="24" t="str">
        <f t="shared" si="10"/>
        <v>Thu</v>
      </c>
      <c r="N157" s="24" t="str">
        <f t="shared" si="11"/>
        <v>Pending</v>
      </c>
      <c r="O157" s="24" t="str">
        <f>IF(ROUND(G157-Raw_Data!G163,2)=0,"OK","Corrected")</f>
        <v>OK</v>
      </c>
    </row>
    <row r="158" spans="1:15" x14ac:dyDescent="0.3">
      <c r="A158" s="24" t="str">
        <f>TRIM(Raw_Data!A164)</f>
        <v>AMZ-10311</v>
      </c>
      <c r="B158" s="25">
        <f>Raw_Data!B164</f>
        <v>46275</v>
      </c>
      <c r="C158" s="24" t="str">
        <f>PROPER(TRIM(Raw_Data!C164))</f>
        <v>Casual Sneakers</v>
      </c>
      <c r="D158" s="24" t="str">
        <f>TRIM(Raw_Data!D164)</f>
        <v>Footwear</v>
      </c>
      <c r="E158" s="26">
        <f>Raw_Data!E164</f>
        <v>2199</v>
      </c>
      <c r="F158" s="24">
        <f>Raw_Data!F164</f>
        <v>2</v>
      </c>
      <c r="G158" s="26">
        <f t="shared" si="8"/>
        <v>4398</v>
      </c>
      <c r="H158" s="24" t="str">
        <f>PROPER(TRIM(Raw_Data!H164))</f>
        <v>Vikram Joshi</v>
      </c>
      <c r="I158" s="24" t="str">
        <f>PROPER(TRIM(Raw_Data!I164))</f>
        <v>Hyderabad</v>
      </c>
      <c r="J158" s="24" t="str">
        <f>TRIM(Raw_Data!J164)</f>
        <v>Credit Card</v>
      </c>
      <c r="K158" s="24" t="str">
        <f>PROPER(TRIM(Raw_Data!K164))</f>
        <v>Delivered</v>
      </c>
      <c r="L158" s="24" t="str">
        <f t="shared" si="9"/>
        <v>Sep</v>
      </c>
      <c r="M158" s="24" t="str">
        <f t="shared" si="10"/>
        <v>Thu</v>
      </c>
      <c r="N158" s="24" t="str">
        <f t="shared" si="11"/>
        <v>Delivered</v>
      </c>
      <c r="O158" s="24" t="str">
        <f>IF(ROUND(G158-Raw_Data!G164,2)=0,"OK","Corrected")</f>
        <v>OK</v>
      </c>
    </row>
    <row r="159" spans="1:15" x14ac:dyDescent="0.3">
      <c r="A159" s="24" t="str">
        <f>TRIM(Raw_Data!A165)</f>
        <v>AMZ-10312</v>
      </c>
      <c r="B159" s="25">
        <f>Raw_Data!B165</f>
        <v>46275</v>
      </c>
      <c r="C159" s="24" t="str">
        <f>PROPER(TRIM(Raw_Data!C165))</f>
        <v>Sandals</v>
      </c>
      <c r="D159" s="24" t="str">
        <f>TRIM(Raw_Data!D165)</f>
        <v>Footwear</v>
      </c>
      <c r="E159" s="26">
        <f>Raw_Data!E165</f>
        <v>899</v>
      </c>
      <c r="F159" s="24">
        <f>Raw_Data!F165</f>
        <v>1</v>
      </c>
      <c r="G159" s="26">
        <f t="shared" si="8"/>
        <v>899</v>
      </c>
      <c r="H159" s="24" t="str">
        <f>PROPER(TRIM(Raw_Data!H165))</f>
        <v>Priya Iyer</v>
      </c>
      <c r="I159" s="24" t="str">
        <f>PROPER(TRIM(Raw_Data!I165))</f>
        <v>Delhi</v>
      </c>
      <c r="J159" s="24" t="str">
        <f>TRIM(Raw_Data!J165)</f>
        <v>Credit Card</v>
      </c>
      <c r="K159" s="24" t="str">
        <f>PROPER(TRIM(Raw_Data!K165))</f>
        <v>Delivered</v>
      </c>
      <c r="L159" s="24" t="str">
        <f t="shared" si="9"/>
        <v>Sep</v>
      </c>
      <c r="M159" s="24" t="str">
        <f t="shared" si="10"/>
        <v>Thu</v>
      </c>
      <c r="N159" s="24" t="str">
        <f t="shared" si="11"/>
        <v>Delivered</v>
      </c>
      <c r="O159" s="24" t="str">
        <f>IF(ROUND(G159-Raw_Data!G165,2)=0,"OK","Corrected")</f>
        <v>OK</v>
      </c>
    </row>
    <row r="160" spans="1:15" x14ac:dyDescent="0.3">
      <c r="A160" s="24" t="str">
        <f>TRIM(Raw_Data!A166)</f>
        <v>AMZ-10336</v>
      </c>
      <c r="B160" s="25">
        <f>Raw_Data!B166</f>
        <v>46275</v>
      </c>
      <c r="C160" s="24" t="str">
        <f>PROPER(TRIM(Raw_Data!C166))</f>
        <v>Denim Jeans</v>
      </c>
      <c r="D160" s="24" t="str">
        <f>TRIM(Raw_Data!D166)</f>
        <v>Clothing</v>
      </c>
      <c r="E160" s="26">
        <f>Raw_Data!E166</f>
        <v>1799</v>
      </c>
      <c r="F160" s="24">
        <f>Raw_Data!F166</f>
        <v>4</v>
      </c>
      <c r="G160" s="26">
        <f t="shared" si="8"/>
        <v>7196</v>
      </c>
      <c r="H160" s="24" t="str">
        <f>PROPER(TRIM(Raw_Data!H166))</f>
        <v>Vivaan Sharma</v>
      </c>
      <c r="I160" s="24" t="str">
        <f>PROPER(TRIM(Raw_Data!I166))</f>
        <v>Mumbai</v>
      </c>
      <c r="J160" s="24" t="str">
        <f>TRIM(Raw_Data!J166)</f>
        <v>Cash On Delivery</v>
      </c>
      <c r="K160" s="24" t="str">
        <f>PROPER(TRIM(Raw_Data!K166))</f>
        <v>Delivered</v>
      </c>
      <c r="L160" s="24" t="str">
        <f t="shared" si="9"/>
        <v>Sep</v>
      </c>
      <c r="M160" s="24" t="str">
        <f t="shared" si="10"/>
        <v>Thu</v>
      </c>
      <c r="N160" s="24" t="str">
        <f t="shared" si="11"/>
        <v>Delivered</v>
      </c>
      <c r="O160" s="24" t="str">
        <f>IF(ROUND(G160-Raw_Data!G166,2)=0,"OK","Corrected")</f>
        <v>OK</v>
      </c>
    </row>
    <row r="161" spans="1:15" x14ac:dyDescent="0.3">
      <c r="A161" s="24" t="str">
        <f>TRIM(Raw_Data!A168)</f>
        <v>AMZ-10337</v>
      </c>
      <c r="B161" s="25">
        <f>Raw_Data!B168</f>
        <v>46275</v>
      </c>
      <c r="C161" s="24" t="str">
        <f>PROPER(TRIM(Raw_Data!C168))</f>
        <v>Mixer Grinder</v>
      </c>
      <c r="D161" s="24" t="str">
        <f>TRIM(Raw_Data!D168)</f>
        <v>Home &amp; Kitchen</v>
      </c>
      <c r="E161" s="26">
        <f>Raw_Data!E168</f>
        <v>3499</v>
      </c>
      <c r="F161" s="24">
        <f>Raw_Data!F168</f>
        <v>1</v>
      </c>
      <c r="G161" s="26">
        <f t="shared" si="8"/>
        <v>3499</v>
      </c>
      <c r="H161" s="24" t="str">
        <f>PROPER(TRIM(Raw_Data!H168))</f>
        <v>Meera Mehta</v>
      </c>
      <c r="I161" s="24" t="str">
        <f>PROPER(TRIM(Raw_Data!I168))</f>
        <v>Kolkata</v>
      </c>
      <c r="J161" s="24" t="str">
        <f>TRIM(Raw_Data!J168)</f>
        <v>Credit Card</v>
      </c>
      <c r="K161" s="24" t="str">
        <f>PROPER(TRIM(Raw_Data!K168))</f>
        <v>Delivered</v>
      </c>
      <c r="L161" s="24" t="str">
        <f t="shared" si="9"/>
        <v>Sep</v>
      </c>
      <c r="M161" s="24" t="str">
        <f t="shared" si="10"/>
        <v>Thu</v>
      </c>
      <c r="N161" s="24" t="str">
        <f t="shared" si="11"/>
        <v>Delivered</v>
      </c>
      <c r="O161" s="24" t="str">
        <f>IF(ROUND(G161-Raw_Data!G168,2)=0,"OK","Corrected")</f>
        <v>OK</v>
      </c>
    </row>
    <row r="162" spans="1:15" x14ac:dyDescent="0.3">
      <c r="A162" s="24" t="str">
        <f>TRIM(Raw_Data!A169)</f>
        <v>AMZ-10361</v>
      </c>
      <c r="B162" s="25">
        <f>Raw_Data!B169</f>
        <v>46275</v>
      </c>
      <c r="C162" s="24" t="str">
        <f>PROPER(TRIM(Raw_Data!C169))</f>
        <v>Bluetooth Speaker</v>
      </c>
      <c r="D162" s="24" t="str">
        <f>TRIM(Raw_Data!D169)</f>
        <v>Electronics</v>
      </c>
      <c r="E162" s="26">
        <f>Raw_Data!E169</f>
        <v>1999</v>
      </c>
      <c r="F162" s="24">
        <f>Raw_Data!F169</f>
        <v>1</v>
      </c>
      <c r="G162" s="26">
        <f t="shared" si="8"/>
        <v>1999</v>
      </c>
      <c r="H162" s="24" t="str">
        <f>PROPER(TRIM(Raw_Data!H169))</f>
        <v>Aarav Joshi</v>
      </c>
      <c r="I162" s="24" t="str">
        <f>PROPER(TRIM(Raw_Data!I169))</f>
        <v>Pune</v>
      </c>
      <c r="J162" s="24" t="str">
        <f>TRIM(Raw_Data!J169)</f>
        <v>Credit Card</v>
      </c>
      <c r="K162" s="24" t="str">
        <f>PROPER(TRIM(Raw_Data!K169))</f>
        <v>Delivered</v>
      </c>
      <c r="L162" s="24" t="str">
        <f t="shared" si="9"/>
        <v>Sep</v>
      </c>
      <c r="M162" s="24" t="str">
        <f t="shared" si="10"/>
        <v>Thu</v>
      </c>
      <c r="N162" s="24" t="str">
        <f t="shared" si="11"/>
        <v>Delivered</v>
      </c>
      <c r="O162" s="24" t="str">
        <f>IF(ROUND(G162-Raw_Data!G169,2)=0,"OK","Corrected")</f>
        <v>OK</v>
      </c>
    </row>
    <row r="163" spans="1:15" x14ac:dyDescent="0.3">
      <c r="A163" s="24" t="str">
        <f>TRIM(Raw_Data!A170)</f>
        <v>AMZ-10369</v>
      </c>
      <c r="B163" s="25">
        <f>Raw_Data!B170</f>
        <v>46275</v>
      </c>
      <c r="C163" s="24" t="str">
        <f>PROPER(TRIM(Raw_Data!C170))</f>
        <v>Denim Jeans</v>
      </c>
      <c r="D163" s="24" t="str">
        <f>TRIM(Raw_Data!D170)</f>
        <v>Clothing</v>
      </c>
      <c r="E163" s="26">
        <f>Raw_Data!E170</f>
        <v>1799</v>
      </c>
      <c r="F163" s="24">
        <f>Raw_Data!F170</f>
        <v>1</v>
      </c>
      <c r="G163" s="26">
        <f t="shared" si="8"/>
        <v>1799</v>
      </c>
      <c r="H163" s="24" t="str">
        <f>PROPER(TRIM(Raw_Data!H170))</f>
        <v>Neha Patel</v>
      </c>
      <c r="I163" s="24" t="str">
        <f>PROPER(TRIM(Raw_Data!I170))</f>
        <v>Bangalore</v>
      </c>
      <c r="J163" s="24" t="str">
        <f>TRIM(Raw_Data!J170)</f>
        <v>UPI</v>
      </c>
      <c r="K163" s="24" t="str">
        <f>PROPER(TRIM(Raw_Data!K170))</f>
        <v>Delivered</v>
      </c>
      <c r="L163" s="24" t="str">
        <f t="shared" si="9"/>
        <v>Sep</v>
      </c>
      <c r="M163" s="24" t="str">
        <f t="shared" si="10"/>
        <v>Thu</v>
      </c>
      <c r="N163" s="24" t="str">
        <f t="shared" si="11"/>
        <v>Delivered</v>
      </c>
      <c r="O163" s="24" t="str">
        <f>IF(ROUND(G163-Raw_Data!G170,2)=0,"OK","Corrected")</f>
        <v>OK</v>
      </c>
    </row>
    <row r="164" spans="1:15" x14ac:dyDescent="0.3">
      <c r="A164" s="24" t="str">
        <f>TRIM(Raw_Data!A171)</f>
        <v>AMZ-10397</v>
      </c>
      <c r="B164" s="25">
        <f>Raw_Data!B171</f>
        <v>46275</v>
      </c>
      <c r="C164" s="24" t="str">
        <f>PROPER(TRIM(Raw_Data!C171))</f>
        <v>Mixer Grinder</v>
      </c>
      <c r="D164" s="24" t="str">
        <f>TRIM(Raw_Data!D171)</f>
        <v>Home &amp; Kitchen</v>
      </c>
      <c r="E164" s="26">
        <f>Raw_Data!E171</f>
        <v>3499</v>
      </c>
      <c r="F164" s="24">
        <f>Raw_Data!F171</f>
        <v>4</v>
      </c>
      <c r="G164" s="26">
        <f t="shared" si="8"/>
        <v>13996</v>
      </c>
      <c r="H164" s="24" t="str">
        <f>PROPER(TRIM(Raw_Data!H171))</f>
        <v>Ishaan Chopra</v>
      </c>
      <c r="I164" s="24" t="str">
        <f>PROPER(TRIM(Raw_Data!I171))</f>
        <v>Mumbai</v>
      </c>
      <c r="J164" s="24" t="str">
        <f>TRIM(Raw_Data!J171)</f>
        <v>Debit Card</v>
      </c>
      <c r="K164" s="24" t="str">
        <f>PROPER(TRIM(Raw_Data!K171))</f>
        <v>Cancelled</v>
      </c>
      <c r="L164" s="24" t="str">
        <f t="shared" si="9"/>
        <v>Sep</v>
      </c>
      <c r="M164" s="24" t="str">
        <f t="shared" si="10"/>
        <v>Thu</v>
      </c>
      <c r="N164" s="24" t="str">
        <f t="shared" si="11"/>
        <v>Cancelled</v>
      </c>
      <c r="O164" s="24" t="str">
        <f>IF(ROUND(G164-Raw_Data!G171,2)=0,"OK","Corrected")</f>
        <v>OK</v>
      </c>
    </row>
    <row r="165" spans="1:15" x14ac:dyDescent="0.3">
      <c r="A165" s="24" t="str">
        <f>TRIM(Raw_Data!A172)</f>
        <v>AMZ-10423</v>
      </c>
      <c r="B165" s="25">
        <f>Raw_Data!B172</f>
        <v>46275</v>
      </c>
      <c r="C165" s="24" t="str">
        <f>PROPER(TRIM(Raw_Data!C172))</f>
        <v>Running Shoes</v>
      </c>
      <c r="D165" s="24" t="str">
        <f>TRIM(Raw_Data!D172)</f>
        <v>Footwear</v>
      </c>
      <c r="E165" s="26">
        <f>Raw_Data!E172</f>
        <v>3299</v>
      </c>
      <c r="F165" s="24">
        <f>Raw_Data!F172</f>
        <v>4</v>
      </c>
      <c r="G165" s="26">
        <f t="shared" si="8"/>
        <v>13196</v>
      </c>
      <c r="H165" s="24" t="str">
        <f>PROPER(TRIM(Raw_Data!H172))</f>
        <v>Kavya Rao</v>
      </c>
      <c r="I165" s="24" t="str">
        <f>PROPER(TRIM(Raw_Data!I172))</f>
        <v>Bangalore</v>
      </c>
      <c r="J165" s="24" t="str">
        <f>TRIM(Raw_Data!J172)</f>
        <v>Debit Card</v>
      </c>
      <c r="K165" s="24" t="str">
        <f>PROPER(TRIM(Raw_Data!K172))</f>
        <v>Delivered</v>
      </c>
      <c r="L165" s="24" t="str">
        <f t="shared" si="9"/>
        <v>Sep</v>
      </c>
      <c r="M165" s="24" t="str">
        <f t="shared" si="10"/>
        <v>Thu</v>
      </c>
      <c r="N165" s="24" t="str">
        <f t="shared" si="11"/>
        <v>Delivered</v>
      </c>
      <c r="O165" s="24" t="str">
        <f>IF(ROUND(G165-Raw_Data!G172,2)=0,"OK","Corrected")</f>
        <v>OK</v>
      </c>
    </row>
    <row r="166" spans="1:15" x14ac:dyDescent="0.3">
      <c r="A166" s="24" t="str">
        <f>TRIM(Raw_Data!A173)</f>
        <v>AMZ-10490</v>
      </c>
      <c r="B166" s="25">
        <f>Raw_Data!B173</f>
        <v>46275</v>
      </c>
      <c r="C166" s="24" t="str">
        <f>PROPER(TRIM(Raw_Data!C173))</f>
        <v>Mixer Grinder</v>
      </c>
      <c r="D166" s="24" t="str">
        <f>TRIM(Raw_Data!D173)</f>
        <v>Home &amp; Kitchen</v>
      </c>
      <c r="E166" s="26">
        <f>Raw_Data!E173</f>
        <v>3499</v>
      </c>
      <c r="F166" s="24">
        <f>Raw_Data!F173</f>
        <v>1</v>
      </c>
      <c r="G166" s="26">
        <f t="shared" si="8"/>
        <v>3499</v>
      </c>
      <c r="H166" s="24" t="str">
        <f>PROPER(TRIM(Raw_Data!H173))</f>
        <v>Neha Mehta</v>
      </c>
      <c r="I166" s="24" t="str">
        <f>PROPER(TRIM(Raw_Data!I173))</f>
        <v>Lucknow</v>
      </c>
      <c r="J166" s="24" t="str">
        <f>TRIM(Raw_Data!J173)</f>
        <v>Debit Card</v>
      </c>
      <c r="K166" s="24" t="str">
        <f>PROPER(TRIM(Raw_Data!K173))</f>
        <v>Cancelled</v>
      </c>
      <c r="L166" s="24" t="str">
        <f t="shared" si="9"/>
        <v>Sep</v>
      </c>
      <c r="M166" s="24" t="str">
        <f t="shared" si="10"/>
        <v>Thu</v>
      </c>
      <c r="N166" s="24" t="str">
        <f t="shared" si="11"/>
        <v>Cancelled</v>
      </c>
      <c r="O166" s="24" t="str">
        <f>IF(ROUND(G166-Raw_Data!G173,2)=0,"OK","Corrected")</f>
        <v>OK</v>
      </c>
    </row>
    <row r="167" spans="1:15" x14ac:dyDescent="0.3">
      <c r="A167" s="24" t="str">
        <f>TRIM(Raw_Data!A174)</f>
        <v>AMZ-10050</v>
      </c>
      <c r="B167" s="25">
        <f>Raw_Data!B174</f>
        <v>46276</v>
      </c>
      <c r="C167" s="24" t="str">
        <f>PROPER(TRIM(Raw_Data!C174))</f>
        <v>Power Bank</v>
      </c>
      <c r="D167" s="24" t="str">
        <f>TRIM(Raw_Data!D174)</f>
        <v>Electronics</v>
      </c>
      <c r="E167" s="26">
        <f>Raw_Data!E174</f>
        <v>1299</v>
      </c>
      <c r="F167" s="24">
        <f>Raw_Data!F174</f>
        <v>1</v>
      </c>
      <c r="G167" s="26">
        <f t="shared" si="8"/>
        <v>1299</v>
      </c>
      <c r="H167" s="24" t="str">
        <f>PROPER(TRIM(Raw_Data!H174))</f>
        <v>Neha Patel</v>
      </c>
      <c r="I167" s="24" t="str">
        <f>PROPER(TRIM(Raw_Data!I174))</f>
        <v>Bangalore</v>
      </c>
      <c r="J167" s="24" t="str">
        <f>TRIM(Raw_Data!J174)</f>
        <v>Credit Card</v>
      </c>
      <c r="K167" s="24" t="str">
        <f>PROPER(TRIM(Raw_Data!K174))</f>
        <v>Delivered</v>
      </c>
      <c r="L167" s="24" t="str">
        <f t="shared" si="9"/>
        <v>Sep</v>
      </c>
      <c r="M167" s="24" t="str">
        <f t="shared" si="10"/>
        <v>Fri</v>
      </c>
      <c r="N167" s="24" t="str">
        <f t="shared" si="11"/>
        <v>Delivered</v>
      </c>
      <c r="O167" s="24" t="str">
        <f>IF(ROUND(G167-Raw_Data!G174,2)=0,"OK","Corrected")</f>
        <v>OK</v>
      </c>
    </row>
    <row r="168" spans="1:15" x14ac:dyDescent="0.3">
      <c r="A168" s="24" t="str">
        <f>TRIM(Raw_Data!A175)</f>
        <v>AMZ-10090</v>
      </c>
      <c r="B168" s="25">
        <f>Raw_Data!B175</f>
        <v>46276</v>
      </c>
      <c r="C168" s="24" t="str">
        <f>PROPER(TRIM(Raw_Data!C175))</f>
        <v>Sandals</v>
      </c>
      <c r="D168" s="24" t="str">
        <f>TRIM(Raw_Data!D175)</f>
        <v>Footwear</v>
      </c>
      <c r="E168" s="26">
        <f>Raw_Data!E175</f>
        <v>899</v>
      </c>
      <c r="F168" s="24">
        <f>Raw_Data!F175</f>
        <v>2</v>
      </c>
      <c r="G168" s="26">
        <f t="shared" si="8"/>
        <v>1798</v>
      </c>
      <c r="H168" s="24" t="str">
        <f>PROPER(TRIM(Raw_Data!H175))</f>
        <v>Neha Kulkarni</v>
      </c>
      <c r="I168" s="24" t="str">
        <f>PROPER(TRIM(Raw_Data!I175))</f>
        <v>Delhi</v>
      </c>
      <c r="J168" s="24" t="str">
        <f>TRIM(Raw_Data!J175)</f>
        <v>UPI</v>
      </c>
      <c r="K168" s="24" t="str">
        <f>PROPER(TRIM(Raw_Data!K175))</f>
        <v>Cancelled</v>
      </c>
      <c r="L168" s="24" t="str">
        <f t="shared" si="9"/>
        <v>Sep</v>
      </c>
      <c r="M168" s="24" t="str">
        <f t="shared" si="10"/>
        <v>Fri</v>
      </c>
      <c r="N168" s="24" t="str">
        <f t="shared" si="11"/>
        <v>Cancelled</v>
      </c>
      <c r="O168" s="24" t="str">
        <f>IF(ROUND(G168-Raw_Data!G175,2)=0,"OK","Corrected")</f>
        <v>OK</v>
      </c>
    </row>
    <row r="169" spans="1:15" x14ac:dyDescent="0.3">
      <c r="A169" s="24" t="str">
        <f>TRIM(Raw_Data!A176)</f>
        <v>AMZ-10120</v>
      </c>
      <c r="B169" s="25">
        <f>Raw_Data!B176</f>
        <v>46276</v>
      </c>
      <c r="C169" s="24" t="str">
        <f>PROPER(TRIM(Raw_Data!C176))</f>
        <v>Denim Jeans</v>
      </c>
      <c r="D169" s="24" t="str">
        <f>TRIM(Raw_Data!D176)</f>
        <v>Clothing</v>
      </c>
      <c r="E169" s="26">
        <f>Raw_Data!E176</f>
        <v>1799</v>
      </c>
      <c r="F169" s="24">
        <f>Raw_Data!F176</f>
        <v>1</v>
      </c>
      <c r="G169" s="26">
        <f t="shared" si="8"/>
        <v>1799</v>
      </c>
      <c r="H169" s="24" t="str">
        <f>PROPER(TRIM(Raw_Data!H176))</f>
        <v>Neha Patel</v>
      </c>
      <c r="I169" s="24" t="str">
        <f>PROPER(TRIM(Raw_Data!I176))</f>
        <v>Bangalore</v>
      </c>
      <c r="J169" s="24" t="str">
        <f>TRIM(Raw_Data!J176)</f>
        <v>UPI</v>
      </c>
      <c r="K169" s="24" t="str">
        <f>PROPER(TRIM(Raw_Data!K176))</f>
        <v>Delivered</v>
      </c>
      <c r="L169" s="24" t="str">
        <f t="shared" si="9"/>
        <v>Sep</v>
      </c>
      <c r="M169" s="24" t="str">
        <f t="shared" si="10"/>
        <v>Fri</v>
      </c>
      <c r="N169" s="24" t="str">
        <f t="shared" si="11"/>
        <v>Delivered</v>
      </c>
      <c r="O169" s="24" t="str">
        <f>IF(ROUND(G169-Raw_Data!G176,2)=0,"OK","Corrected")</f>
        <v>OK</v>
      </c>
    </row>
    <row r="170" spans="1:15" x14ac:dyDescent="0.3">
      <c r="A170" s="24" t="str">
        <f>TRIM(Raw_Data!A177)</f>
        <v>AMZ-10122</v>
      </c>
      <c r="B170" s="25">
        <f>Raw_Data!B177</f>
        <v>46276</v>
      </c>
      <c r="C170" s="24" t="str">
        <f>PROPER(TRIM(Raw_Data!C177))</f>
        <v>Python Programming Book</v>
      </c>
      <c r="D170" s="24" t="str">
        <f>TRIM(Raw_Data!D177)</f>
        <v>Books</v>
      </c>
      <c r="E170" s="26">
        <f>Raw_Data!E177</f>
        <v>699</v>
      </c>
      <c r="F170" s="24">
        <f>Raw_Data!F177</f>
        <v>1</v>
      </c>
      <c r="G170" s="26">
        <f t="shared" si="8"/>
        <v>699</v>
      </c>
      <c r="H170" s="24" t="str">
        <f>PROPER(TRIM(Raw_Data!H177))</f>
        <v>Aditya Sharma</v>
      </c>
      <c r="I170" s="24" t="str">
        <f>PROPER(TRIM(Raw_Data!I177))</f>
        <v>Ahmedabad</v>
      </c>
      <c r="J170" s="24" t="str">
        <f>TRIM(Raw_Data!J177)</f>
        <v>UPI</v>
      </c>
      <c r="K170" s="24" t="str">
        <f>PROPER(TRIM(Raw_Data!K177))</f>
        <v>Delivered</v>
      </c>
      <c r="L170" s="24" t="str">
        <f t="shared" si="9"/>
        <v>Sep</v>
      </c>
      <c r="M170" s="24" t="str">
        <f t="shared" si="10"/>
        <v>Fri</v>
      </c>
      <c r="N170" s="24" t="str">
        <f t="shared" si="11"/>
        <v>Delivered</v>
      </c>
      <c r="O170" s="24" t="str">
        <f>IF(ROUND(G170-Raw_Data!G177,2)=0,"OK","Corrected")</f>
        <v>OK</v>
      </c>
    </row>
    <row r="171" spans="1:15" x14ac:dyDescent="0.3">
      <c r="A171" s="24" t="str">
        <f>TRIM(Raw_Data!A178)</f>
        <v>AMZ-10140</v>
      </c>
      <c r="B171" s="25">
        <f>Raw_Data!B178</f>
        <v>46276</v>
      </c>
      <c r="C171" s="24" t="str">
        <f>PROPER(TRIM(Raw_Data!C178))</f>
        <v>Wireless Earbuds</v>
      </c>
      <c r="D171" s="24" t="str">
        <f>TRIM(Raw_Data!D178)</f>
        <v>Electronics</v>
      </c>
      <c r="E171" s="26">
        <f>Raw_Data!E178</f>
        <v>2499</v>
      </c>
      <c r="F171" s="24">
        <f>Raw_Data!F178</f>
        <v>2</v>
      </c>
      <c r="G171" s="26">
        <f t="shared" si="8"/>
        <v>4998</v>
      </c>
      <c r="H171" s="24" t="str">
        <f>PROPER(TRIM(Raw_Data!H178))</f>
        <v>Ishaan Singh</v>
      </c>
      <c r="I171" s="24" t="str">
        <f>PROPER(TRIM(Raw_Data!I178))</f>
        <v>Delhi</v>
      </c>
      <c r="J171" s="24" t="str">
        <f>TRIM(Raw_Data!J178)</f>
        <v>Debit Card</v>
      </c>
      <c r="K171" s="24" t="str">
        <f>PROPER(TRIM(Raw_Data!K178))</f>
        <v>Delivered</v>
      </c>
      <c r="L171" s="24" t="str">
        <f t="shared" si="9"/>
        <v>Sep</v>
      </c>
      <c r="M171" s="24" t="str">
        <f t="shared" si="10"/>
        <v>Fri</v>
      </c>
      <c r="N171" s="24" t="str">
        <f t="shared" si="11"/>
        <v>Delivered</v>
      </c>
      <c r="O171" s="24" t="str">
        <f>IF(ROUND(G171-Raw_Data!G178,2)=0,"OK","Corrected")</f>
        <v>OK</v>
      </c>
    </row>
    <row r="172" spans="1:15" x14ac:dyDescent="0.3">
      <c r="A172" s="24" t="str">
        <f>TRIM(Raw_Data!A179)</f>
        <v>AMZ-10191</v>
      </c>
      <c r="B172" s="25">
        <f>Raw_Data!B179</f>
        <v>46276</v>
      </c>
      <c r="C172" s="24" t="str">
        <f>PROPER(TRIM(Raw_Data!C179))</f>
        <v>Wireless Earbuds</v>
      </c>
      <c r="D172" s="24" t="str">
        <f>TRIM(Raw_Data!D179)</f>
        <v>Electronics</v>
      </c>
      <c r="E172" s="26">
        <f>Raw_Data!E179</f>
        <v>2499</v>
      </c>
      <c r="F172" s="24">
        <f>Raw_Data!F179</f>
        <v>4</v>
      </c>
      <c r="G172" s="26">
        <f t="shared" si="8"/>
        <v>9996</v>
      </c>
      <c r="H172" s="24" t="str">
        <f>PROPER(TRIM(Raw_Data!H179))</f>
        <v>Priya Das</v>
      </c>
      <c r="I172" s="24" t="str">
        <f>PROPER(TRIM(Raw_Data!I179))</f>
        <v>Hyderabad</v>
      </c>
      <c r="J172" s="24" t="str">
        <f>TRIM(Raw_Data!J179)</f>
        <v>Debit Card</v>
      </c>
      <c r="K172" s="24" t="str">
        <f>PROPER(TRIM(Raw_Data!K179))</f>
        <v>Delivered</v>
      </c>
      <c r="L172" s="24" t="str">
        <f t="shared" si="9"/>
        <v>Sep</v>
      </c>
      <c r="M172" s="24" t="str">
        <f t="shared" si="10"/>
        <v>Fri</v>
      </c>
      <c r="N172" s="24" t="str">
        <f t="shared" si="11"/>
        <v>Delivered</v>
      </c>
      <c r="O172" s="24" t="str">
        <f>IF(ROUND(G172-Raw_Data!G179,2)=0,"OK","Corrected")</f>
        <v>OK</v>
      </c>
    </row>
    <row r="173" spans="1:15" x14ac:dyDescent="0.3">
      <c r="A173" s="24" t="str">
        <f>TRIM(Raw_Data!A180)</f>
        <v>AMZ-10212</v>
      </c>
      <c r="B173" s="25">
        <f>Raw_Data!B180</f>
        <v>46276</v>
      </c>
      <c r="C173" s="24" t="str">
        <f>PROPER(TRIM(Raw_Data!C180))</f>
        <v>Wireless Earbuds</v>
      </c>
      <c r="D173" s="24" t="str">
        <f>TRIM(Raw_Data!D180)</f>
        <v>Electronics</v>
      </c>
      <c r="E173" s="26">
        <f>Raw_Data!E180</f>
        <v>2499</v>
      </c>
      <c r="F173" s="24">
        <f>Raw_Data!F180</f>
        <v>3</v>
      </c>
      <c r="G173" s="26">
        <f t="shared" si="8"/>
        <v>7497</v>
      </c>
      <c r="H173" s="24" t="str">
        <f>PROPER(TRIM(Raw_Data!H180))</f>
        <v>Suresh Nair</v>
      </c>
      <c r="I173" s="24" t="str">
        <f>PROPER(TRIM(Raw_Data!I180))</f>
        <v>Bangalore</v>
      </c>
      <c r="J173" s="24" t="str">
        <f>TRIM(Raw_Data!J180)</f>
        <v>UPI</v>
      </c>
      <c r="K173" s="24" t="str">
        <f>PROPER(TRIM(Raw_Data!K180))</f>
        <v>Cancelled</v>
      </c>
      <c r="L173" s="24" t="str">
        <f t="shared" si="9"/>
        <v>Sep</v>
      </c>
      <c r="M173" s="24" t="str">
        <f t="shared" si="10"/>
        <v>Fri</v>
      </c>
      <c r="N173" s="24" t="str">
        <f t="shared" si="11"/>
        <v>Cancelled</v>
      </c>
      <c r="O173" s="24" t="str">
        <f>IF(ROUND(G173-Raw_Data!G180,2)=0,"OK","Corrected")</f>
        <v>OK</v>
      </c>
    </row>
    <row r="174" spans="1:15" x14ac:dyDescent="0.3">
      <c r="A174" s="24" t="str">
        <f>TRIM(Raw_Data!A181)</f>
        <v>AMZ-10258</v>
      </c>
      <c r="B174" s="25">
        <f>Raw_Data!B181</f>
        <v>46276</v>
      </c>
      <c r="C174" s="24" t="str">
        <f>PROPER(TRIM(Raw_Data!C181))</f>
        <v>Running Shoes</v>
      </c>
      <c r="D174" s="24" t="str">
        <f>TRIM(Raw_Data!D181)</f>
        <v>Footwear</v>
      </c>
      <c r="E174" s="26">
        <f>Raw_Data!E181</f>
        <v>3299</v>
      </c>
      <c r="F174" s="24">
        <f>Raw_Data!F181</f>
        <v>1</v>
      </c>
      <c r="G174" s="26">
        <f t="shared" si="8"/>
        <v>3299</v>
      </c>
      <c r="H174" s="24" t="str">
        <f>PROPER(TRIM(Raw_Data!H181))</f>
        <v>Priya Chopra</v>
      </c>
      <c r="I174" s="24" t="str">
        <f>PROPER(TRIM(Raw_Data!I181))</f>
        <v>Bangalore</v>
      </c>
      <c r="J174" s="24" t="str">
        <f>TRIM(Raw_Data!J181)</f>
        <v>Cash On Delivery</v>
      </c>
      <c r="K174" s="24" t="str">
        <f>PROPER(TRIM(Raw_Data!K181))</f>
        <v>Delivered</v>
      </c>
      <c r="L174" s="24" t="str">
        <f t="shared" si="9"/>
        <v>Sep</v>
      </c>
      <c r="M174" s="24" t="str">
        <f t="shared" si="10"/>
        <v>Fri</v>
      </c>
      <c r="N174" s="24" t="str">
        <f t="shared" si="11"/>
        <v>Delivered</v>
      </c>
      <c r="O174" s="24" t="str">
        <f>IF(ROUND(G174-Raw_Data!G181,2)=0,"OK","Corrected")</f>
        <v>OK</v>
      </c>
    </row>
    <row r="175" spans="1:15" x14ac:dyDescent="0.3">
      <c r="A175" s="24" t="str">
        <f>TRIM(Raw_Data!A182)</f>
        <v>AMZ-10296</v>
      </c>
      <c r="B175" s="25">
        <f>Raw_Data!B182</f>
        <v>46276</v>
      </c>
      <c r="C175" s="24" t="str">
        <f>PROPER(TRIM(Raw_Data!C182))</f>
        <v>Mixer Grinder</v>
      </c>
      <c r="D175" s="24" t="str">
        <f>TRIM(Raw_Data!D182)</f>
        <v>Home &amp; Kitchen</v>
      </c>
      <c r="E175" s="26">
        <f>Raw_Data!E182</f>
        <v>3499</v>
      </c>
      <c r="F175" s="24">
        <f>Raw_Data!F182</f>
        <v>1</v>
      </c>
      <c r="G175" s="26">
        <f t="shared" si="8"/>
        <v>3499</v>
      </c>
      <c r="H175" s="24" t="str">
        <f>PROPER(TRIM(Raw_Data!H182))</f>
        <v>Sneha Singh</v>
      </c>
      <c r="I175" s="24" t="str">
        <f>PROPER(TRIM(Raw_Data!I182))</f>
        <v>Mumbai</v>
      </c>
      <c r="J175" s="24" t="str">
        <f>TRIM(Raw_Data!J182)</f>
        <v>Debit Card</v>
      </c>
      <c r="K175" s="24" t="str">
        <f>PROPER(TRIM(Raw_Data!K182))</f>
        <v>Cancelled</v>
      </c>
      <c r="L175" s="24" t="str">
        <f t="shared" si="9"/>
        <v>Sep</v>
      </c>
      <c r="M175" s="24" t="str">
        <f t="shared" si="10"/>
        <v>Fri</v>
      </c>
      <c r="N175" s="24" t="str">
        <f t="shared" si="11"/>
        <v>Cancelled</v>
      </c>
      <c r="O175" s="24" t="str">
        <f>IF(ROUND(G175-Raw_Data!G182,2)=0,"OK","Corrected")</f>
        <v>OK</v>
      </c>
    </row>
    <row r="176" spans="1:15" x14ac:dyDescent="0.3">
      <c r="A176" s="24" t="str">
        <f>TRIM(Raw_Data!A183)</f>
        <v>AMZ-10309</v>
      </c>
      <c r="B176" s="25">
        <f>Raw_Data!B183</f>
        <v>46276</v>
      </c>
      <c r="C176" s="24" t="str">
        <f>PROPER(TRIM(Raw_Data!C183))</f>
        <v>Wireless Earbuds</v>
      </c>
      <c r="D176" s="24" t="str">
        <f>TRIM(Raw_Data!D183)</f>
        <v>Electronics</v>
      </c>
      <c r="E176" s="26">
        <f>Raw_Data!E183</f>
        <v>2499</v>
      </c>
      <c r="F176" s="24">
        <f>Raw_Data!F183</f>
        <v>1</v>
      </c>
      <c r="G176" s="26">
        <f t="shared" si="8"/>
        <v>2499</v>
      </c>
      <c r="H176" s="24" t="str">
        <f>PROPER(TRIM(Raw_Data!H183))</f>
        <v>Sneha Singh</v>
      </c>
      <c r="I176" s="24" t="str">
        <f>PROPER(TRIM(Raw_Data!I183))</f>
        <v>Mumbai</v>
      </c>
      <c r="J176" s="24" t="str">
        <f>TRIM(Raw_Data!J183)</f>
        <v>Cash On Delivery</v>
      </c>
      <c r="K176" s="24" t="str">
        <f>PROPER(TRIM(Raw_Data!K183))</f>
        <v>Delivered</v>
      </c>
      <c r="L176" s="24" t="str">
        <f t="shared" si="9"/>
        <v>Sep</v>
      </c>
      <c r="M176" s="24" t="str">
        <f t="shared" si="10"/>
        <v>Fri</v>
      </c>
      <c r="N176" s="24" t="str">
        <f t="shared" si="11"/>
        <v>Delivered</v>
      </c>
      <c r="O176" s="24" t="str">
        <f>IF(ROUND(G176-Raw_Data!G183,2)=0,"OK","Corrected")</f>
        <v>OK</v>
      </c>
    </row>
    <row r="177" spans="1:15" x14ac:dyDescent="0.3">
      <c r="A177" s="24" t="str">
        <f>TRIM(Raw_Data!A184)</f>
        <v>AMZ-10310</v>
      </c>
      <c r="B177" s="25">
        <f>Raw_Data!B184</f>
        <v>46276</v>
      </c>
      <c r="C177" s="24" t="str">
        <f>PROPER(TRIM(Raw_Data!C184))</f>
        <v>Smart Watch</v>
      </c>
      <c r="D177" s="24" t="str">
        <f>TRIM(Raw_Data!D184)</f>
        <v>Electronics</v>
      </c>
      <c r="E177" s="26">
        <f>Raw_Data!E184</f>
        <v>4999</v>
      </c>
      <c r="F177" s="24">
        <f>Raw_Data!F184</f>
        <v>3</v>
      </c>
      <c r="G177" s="26">
        <f t="shared" si="8"/>
        <v>14997</v>
      </c>
      <c r="H177" s="24" t="str">
        <f>PROPER(TRIM(Raw_Data!H184))</f>
        <v>Anjali Verma</v>
      </c>
      <c r="I177" s="24" t="str">
        <f>PROPER(TRIM(Raw_Data!I184))</f>
        <v>Mumbai</v>
      </c>
      <c r="J177" s="24" t="str">
        <f>TRIM(Raw_Data!J184)</f>
        <v>Net Banking</v>
      </c>
      <c r="K177" s="24" t="str">
        <f>PROPER(TRIM(Raw_Data!K184))</f>
        <v>Delivered</v>
      </c>
      <c r="L177" s="24" t="str">
        <f t="shared" si="9"/>
        <v>Sep</v>
      </c>
      <c r="M177" s="24" t="str">
        <f t="shared" si="10"/>
        <v>Fri</v>
      </c>
      <c r="N177" s="24" t="str">
        <f t="shared" si="11"/>
        <v>Delivered</v>
      </c>
      <c r="O177" s="24" t="str">
        <f>IF(ROUND(G177-Raw_Data!G184,2)=0,"OK","Corrected")</f>
        <v>OK</v>
      </c>
    </row>
    <row r="178" spans="1:15" x14ac:dyDescent="0.3">
      <c r="A178" s="24" t="str">
        <f>TRIM(Raw_Data!A185)</f>
        <v>AMZ-10330</v>
      </c>
      <c r="B178" s="25">
        <f>Raw_Data!B185</f>
        <v>46276</v>
      </c>
      <c r="C178" s="24" t="str">
        <f>PROPER(TRIM(Raw_Data!C185))</f>
        <v>Water Bottle</v>
      </c>
      <c r="D178" s="24" t="str">
        <f>TRIM(Raw_Data!D185)</f>
        <v>Home &amp; Kitchen</v>
      </c>
      <c r="E178" s="26">
        <f>Raw_Data!E185</f>
        <v>499</v>
      </c>
      <c r="F178" s="24">
        <f>Raw_Data!F185</f>
        <v>1</v>
      </c>
      <c r="G178" s="26">
        <f t="shared" si="8"/>
        <v>499</v>
      </c>
      <c r="H178" s="24" t="str">
        <f>PROPER(TRIM(Raw_Data!H185))</f>
        <v>Neha Patel</v>
      </c>
      <c r="I178" s="24" t="str">
        <f>PROPER(TRIM(Raw_Data!I185))</f>
        <v>Bangalore</v>
      </c>
      <c r="J178" s="24" t="str">
        <f>TRIM(Raw_Data!J185)</f>
        <v>Debit Card</v>
      </c>
      <c r="K178" s="24" t="str">
        <f>PROPER(TRIM(Raw_Data!K185))</f>
        <v>Delivered</v>
      </c>
      <c r="L178" s="24" t="str">
        <f t="shared" si="9"/>
        <v>Sep</v>
      </c>
      <c r="M178" s="24" t="str">
        <f t="shared" si="10"/>
        <v>Fri</v>
      </c>
      <c r="N178" s="24" t="str">
        <f t="shared" si="11"/>
        <v>Delivered</v>
      </c>
      <c r="O178" s="24" t="str">
        <f>IF(ROUND(G178-Raw_Data!G185,2)=0,"OK","Corrected")</f>
        <v>OK</v>
      </c>
    </row>
    <row r="179" spans="1:15" x14ac:dyDescent="0.3">
      <c r="A179" s="24" t="str">
        <f>TRIM(Raw_Data!A186)</f>
        <v>AMZ-10368</v>
      </c>
      <c r="B179" s="25">
        <f>Raw_Data!B186</f>
        <v>46276</v>
      </c>
      <c r="C179" s="24" t="str">
        <f>PROPER(TRIM(Raw_Data!C186))</f>
        <v>Mixer Grinder</v>
      </c>
      <c r="D179" s="24" t="str">
        <f>TRIM(Raw_Data!D186)</f>
        <v>Home &amp; Kitchen</v>
      </c>
      <c r="E179" s="26">
        <f>Raw_Data!E186</f>
        <v>3499</v>
      </c>
      <c r="F179" s="24">
        <f>Raw_Data!F186</f>
        <v>2</v>
      </c>
      <c r="G179" s="26">
        <f t="shared" si="8"/>
        <v>6998</v>
      </c>
      <c r="H179" s="24" t="str">
        <f>PROPER(TRIM(Raw_Data!H186))</f>
        <v>Vikram Iyer</v>
      </c>
      <c r="I179" s="24" t="str">
        <f>PROPER(TRIM(Raw_Data!I186))</f>
        <v>Bangalore</v>
      </c>
      <c r="J179" s="24" t="str">
        <f>TRIM(Raw_Data!J186)</f>
        <v>UPI</v>
      </c>
      <c r="K179" s="24" t="str">
        <f>PROPER(TRIM(Raw_Data!K186))</f>
        <v>Pending</v>
      </c>
      <c r="L179" s="24" t="str">
        <f t="shared" si="9"/>
        <v>Sep</v>
      </c>
      <c r="M179" s="24" t="str">
        <f t="shared" si="10"/>
        <v>Fri</v>
      </c>
      <c r="N179" s="24" t="str">
        <f t="shared" si="11"/>
        <v>Pending</v>
      </c>
      <c r="O179" s="24" t="str">
        <f>IF(ROUND(G179-Raw_Data!G186,2)=0,"OK","Corrected")</f>
        <v>OK</v>
      </c>
    </row>
    <row r="180" spans="1:15" x14ac:dyDescent="0.3">
      <c r="A180" s="24" t="str">
        <f>TRIM(Raw_Data!A188)</f>
        <v>AMZ-10378</v>
      </c>
      <c r="B180" s="25">
        <f>Raw_Data!B188</f>
        <v>46276</v>
      </c>
      <c r="C180" s="24" t="str">
        <f>PROPER(TRIM(Raw_Data!C188))</f>
        <v>Bluetooth Speaker</v>
      </c>
      <c r="D180" s="24" t="str">
        <f>TRIM(Raw_Data!D188)</f>
        <v>Electronics</v>
      </c>
      <c r="E180" s="26">
        <f>Raw_Data!E188</f>
        <v>1999</v>
      </c>
      <c r="F180" s="24">
        <f>Raw_Data!F188</f>
        <v>1</v>
      </c>
      <c r="G180" s="26">
        <f t="shared" si="8"/>
        <v>1999</v>
      </c>
      <c r="H180" s="24" t="str">
        <f>PROPER(TRIM(Raw_Data!H188))</f>
        <v>Vivaan Joshi</v>
      </c>
      <c r="I180" s="24" t="str">
        <f>PROPER(TRIM(Raw_Data!I188))</f>
        <v>Pune</v>
      </c>
      <c r="J180" s="24" t="str">
        <f>TRIM(Raw_Data!J188)</f>
        <v>UPI</v>
      </c>
      <c r="K180" s="24" t="str">
        <f>PROPER(TRIM(Raw_Data!K188))</f>
        <v>Pending</v>
      </c>
      <c r="L180" s="24" t="str">
        <f t="shared" si="9"/>
        <v>Sep</v>
      </c>
      <c r="M180" s="24" t="str">
        <f t="shared" si="10"/>
        <v>Fri</v>
      </c>
      <c r="N180" s="24" t="str">
        <f t="shared" si="11"/>
        <v>Pending</v>
      </c>
      <c r="O180" s="24" t="str">
        <f>IF(ROUND(G180-Raw_Data!G188,2)=0,"OK","Corrected")</f>
        <v>OK</v>
      </c>
    </row>
    <row r="181" spans="1:15" x14ac:dyDescent="0.3">
      <c r="A181" s="24" t="str">
        <f>TRIM(Raw_Data!A189)</f>
        <v>AMZ-10385</v>
      </c>
      <c r="B181" s="25">
        <f>Raw_Data!B189</f>
        <v>46276</v>
      </c>
      <c r="C181" s="24" t="str">
        <f>PROPER(TRIM(Raw_Data!C189))</f>
        <v>Python Programming Book</v>
      </c>
      <c r="D181" s="24" t="str">
        <f>TRIM(Raw_Data!D189)</f>
        <v>Books</v>
      </c>
      <c r="E181" s="26">
        <f>Raw_Data!E189</f>
        <v>699</v>
      </c>
      <c r="F181" s="24">
        <f>Raw_Data!F189</f>
        <v>1</v>
      </c>
      <c r="G181" s="26">
        <f t="shared" si="8"/>
        <v>699</v>
      </c>
      <c r="H181" s="24" t="str">
        <f>PROPER(TRIM(Raw_Data!H189))</f>
        <v>Arjun Verma</v>
      </c>
      <c r="I181" s="24" t="str">
        <f>PROPER(TRIM(Raw_Data!I189))</f>
        <v>Pune</v>
      </c>
      <c r="J181" s="24" t="str">
        <f>TRIM(Raw_Data!J189)</f>
        <v>UPI</v>
      </c>
      <c r="K181" s="24" t="str">
        <f>PROPER(TRIM(Raw_Data!K189))</f>
        <v>Delivered</v>
      </c>
      <c r="L181" s="24" t="str">
        <f t="shared" si="9"/>
        <v>Sep</v>
      </c>
      <c r="M181" s="24" t="str">
        <f t="shared" si="10"/>
        <v>Fri</v>
      </c>
      <c r="N181" s="24" t="str">
        <f t="shared" si="11"/>
        <v>Delivered</v>
      </c>
      <c r="O181" s="24" t="str">
        <f>IF(ROUND(G181-Raw_Data!G189,2)=0,"OK","Corrected")</f>
        <v>OK</v>
      </c>
    </row>
    <row r="182" spans="1:15" x14ac:dyDescent="0.3">
      <c r="A182" s="24" t="str">
        <f>TRIM(Raw_Data!A190)</f>
        <v>AMZ-10386</v>
      </c>
      <c r="B182" s="25">
        <f>Raw_Data!B190</f>
        <v>46276</v>
      </c>
      <c r="C182" s="24" t="str">
        <f>PROPER(TRIM(Raw_Data!C190))</f>
        <v>Power Bank</v>
      </c>
      <c r="D182" s="24" t="str">
        <f>TRIM(Raw_Data!D190)</f>
        <v>Electronics</v>
      </c>
      <c r="E182" s="26">
        <f>Raw_Data!E190</f>
        <v>1299</v>
      </c>
      <c r="F182" s="24">
        <f>Raw_Data!F190</f>
        <v>1</v>
      </c>
      <c r="G182" s="26">
        <f t="shared" si="8"/>
        <v>1299</v>
      </c>
      <c r="H182" s="24" t="str">
        <f>PROPER(TRIM(Raw_Data!H190))</f>
        <v>Sahil Sharma</v>
      </c>
      <c r="I182" s="24" t="str">
        <f>PROPER(TRIM(Raw_Data!I190))</f>
        <v>Ahmedabad</v>
      </c>
      <c r="J182" s="24" t="str">
        <f>TRIM(Raw_Data!J190)</f>
        <v>UPI</v>
      </c>
      <c r="K182" s="24" t="str">
        <f>PROPER(TRIM(Raw_Data!K190))</f>
        <v>Cancelled</v>
      </c>
      <c r="L182" s="24" t="str">
        <f t="shared" si="9"/>
        <v>Sep</v>
      </c>
      <c r="M182" s="24" t="str">
        <f t="shared" si="10"/>
        <v>Fri</v>
      </c>
      <c r="N182" s="24" t="str">
        <f t="shared" si="11"/>
        <v>Cancelled</v>
      </c>
      <c r="O182" s="24" t="str">
        <f>IF(ROUND(G182-Raw_Data!G190,2)=0,"OK","Corrected")</f>
        <v>OK</v>
      </c>
    </row>
    <row r="183" spans="1:15" x14ac:dyDescent="0.3">
      <c r="A183" s="24" t="str">
        <f>TRIM(Raw_Data!A191)</f>
        <v>AMZ-10403</v>
      </c>
      <c r="B183" s="25">
        <f>Raw_Data!B191</f>
        <v>46276</v>
      </c>
      <c r="C183" s="24" t="str">
        <f>PROPER(TRIM(Raw_Data!C191))</f>
        <v>Water Bottle</v>
      </c>
      <c r="D183" s="24" t="str">
        <f>TRIM(Raw_Data!D191)</f>
        <v>Home &amp; Kitchen</v>
      </c>
      <c r="E183" s="26">
        <f>Raw_Data!E191</f>
        <v>499</v>
      </c>
      <c r="F183" s="24">
        <f>Raw_Data!F191</f>
        <v>1</v>
      </c>
      <c r="G183" s="26">
        <f t="shared" si="8"/>
        <v>499</v>
      </c>
      <c r="H183" s="24" t="str">
        <f>PROPER(TRIM(Raw_Data!H191))</f>
        <v>Vikram Nair</v>
      </c>
      <c r="I183" s="24" t="str">
        <f>PROPER(TRIM(Raw_Data!I191))</f>
        <v>Mumbai</v>
      </c>
      <c r="J183" s="24" t="str">
        <f>TRIM(Raw_Data!J191)</f>
        <v>UPI</v>
      </c>
      <c r="K183" s="24" t="str">
        <f>PROPER(TRIM(Raw_Data!K191))</f>
        <v>Delivered</v>
      </c>
      <c r="L183" s="24" t="str">
        <f t="shared" si="9"/>
        <v>Sep</v>
      </c>
      <c r="M183" s="24" t="str">
        <f t="shared" si="10"/>
        <v>Fri</v>
      </c>
      <c r="N183" s="24" t="str">
        <f t="shared" si="11"/>
        <v>Delivered</v>
      </c>
      <c r="O183" s="24" t="str">
        <f>IF(ROUND(G183-Raw_Data!G191,2)=0,"OK","Corrected")</f>
        <v>OK</v>
      </c>
    </row>
    <row r="184" spans="1:15" x14ac:dyDescent="0.3">
      <c r="A184" s="24" t="str">
        <f>TRIM(Raw_Data!A192)</f>
        <v>AMZ-10445</v>
      </c>
      <c r="B184" s="25">
        <f>Raw_Data!B192</f>
        <v>46276</v>
      </c>
      <c r="C184" s="24" t="str">
        <f>PROPER(TRIM(Raw_Data!C192))</f>
        <v>Self Help Book</v>
      </c>
      <c r="D184" s="24" t="str">
        <f>TRIM(Raw_Data!D192)</f>
        <v>Books</v>
      </c>
      <c r="E184" s="26">
        <f>Raw_Data!E192</f>
        <v>399</v>
      </c>
      <c r="F184" s="24">
        <f>Raw_Data!F192</f>
        <v>1</v>
      </c>
      <c r="G184" s="26">
        <f t="shared" si="8"/>
        <v>399</v>
      </c>
      <c r="H184" s="24" t="str">
        <f>PROPER(TRIM(Raw_Data!H192))</f>
        <v>Meera Singh</v>
      </c>
      <c r="I184" s="24" t="str">
        <f>PROPER(TRIM(Raw_Data!I192))</f>
        <v>Hyderabad</v>
      </c>
      <c r="J184" s="24" t="str">
        <f>TRIM(Raw_Data!J192)</f>
        <v>UPI</v>
      </c>
      <c r="K184" s="24" t="str">
        <f>PROPER(TRIM(Raw_Data!K192))</f>
        <v>Delivered</v>
      </c>
      <c r="L184" s="24" t="str">
        <f t="shared" si="9"/>
        <v>Sep</v>
      </c>
      <c r="M184" s="24" t="str">
        <f t="shared" si="10"/>
        <v>Fri</v>
      </c>
      <c r="N184" s="24" t="str">
        <f t="shared" si="11"/>
        <v>Delivered</v>
      </c>
      <c r="O184" s="24" t="str">
        <f>IF(ROUND(G184-Raw_Data!G192,2)=0,"OK","Corrected")</f>
        <v>OK</v>
      </c>
    </row>
    <row r="185" spans="1:15" x14ac:dyDescent="0.3">
      <c r="A185" s="24" t="str">
        <f>TRIM(Raw_Data!A193)</f>
        <v>AMZ-10446</v>
      </c>
      <c r="B185" s="25">
        <f>Raw_Data!B193</f>
        <v>46276</v>
      </c>
      <c r="C185" s="24" t="str">
        <f>PROPER(TRIM(Raw_Data!C193))</f>
        <v>Water Bottle</v>
      </c>
      <c r="D185" s="24" t="str">
        <f>TRIM(Raw_Data!D193)</f>
        <v>Home &amp; Kitchen</v>
      </c>
      <c r="E185" s="26">
        <f>Raw_Data!E193</f>
        <v>499</v>
      </c>
      <c r="F185" s="24">
        <f>Raw_Data!F193</f>
        <v>1</v>
      </c>
      <c r="G185" s="26">
        <f t="shared" si="8"/>
        <v>499</v>
      </c>
      <c r="H185" s="24" t="str">
        <f>PROPER(TRIM(Raw_Data!H193))</f>
        <v>Priya Reddy</v>
      </c>
      <c r="I185" s="24" t="str">
        <f>PROPER(TRIM(Raw_Data!I193))</f>
        <v>Mumbai</v>
      </c>
      <c r="J185" s="24" t="str">
        <f>TRIM(Raw_Data!J193)</f>
        <v>Credit Card</v>
      </c>
      <c r="K185" s="24" t="str">
        <f>PROPER(TRIM(Raw_Data!K193))</f>
        <v>Delivered</v>
      </c>
      <c r="L185" s="24" t="str">
        <f t="shared" si="9"/>
        <v>Sep</v>
      </c>
      <c r="M185" s="24" t="str">
        <f t="shared" si="10"/>
        <v>Fri</v>
      </c>
      <c r="N185" s="24" t="str">
        <f t="shared" si="11"/>
        <v>Delivered</v>
      </c>
      <c r="O185" s="24" t="str">
        <f>IF(ROUND(G185-Raw_Data!G193,2)=0,"OK","Corrected")</f>
        <v>OK</v>
      </c>
    </row>
    <row r="186" spans="1:15" x14ac:dyDescent="0.3">
      <c r="A186" s="24" t="str">
        <f>TRIM(Raw_Data!A194)</f>
        <v>AMZ-10470</v>
      </c>
      <c r="B186" s="25">
        <f>Raw_Data!B194</f>
        <v>46276</v>
      </c>
      <c r="C186" s="24" t="str">
        <f>PROPER(TRIM(Raw_Data!C194))</f>
        <v>Denim Jeans</v>
      </c>
      <c r="D186" s="24" t="str">
        <f>TRIM(Raw_Data!D194)</f>
        <v>Clothing</v>
      </c>
      <c r="E186" s="26">
        <f>Raw_Data!E194</f>
        <v>1799</v>
      </c>
      <c r="F186" s="24">
        <f>Raw_Data!F194</f>
        <v>1</v>
      </c>
      <c r="G186" s="26">
        <f t="shared" si="8"/>
        <v>1799</v>
      </c>
      <c r="H186" s="24" t="str">
        <f>PROPER(TRIM(Raw_Data!H194))</f>
        <v>Nikhil Reddy</v>
      </c>
      <c r="I186" s="24" t="str">
        <f>PROPER(TRIM(Raw_Data!I194))</f>
        <v>Chennai</v>
      </c>
      <c r="J186" s="24" t="str">
        <f>TRIM(Raw_Data!J194)</f>
        <v>Credit Card</v>
      </c>
      <c r="K186" s="24" t="str">
        <f>PROPER(TRIM(Raw_Data!K194))</f>
        <v>Cancelled</v>
      </c>
      <c r="L186" s="24" t="str">
        <f t="shared" si="9"/>
        <v>Sep</v>
      </c>
      <c r="M186" s="24" t="str">
        <f t="shared" si="10"/>
        <v>Fri</v>
      </c>
      <c r="N186" s="24" t="str">
        <f t="shared" si="11"/>
        <v>Cancelled</v>
      </c>
      <c r="O186" s="24" t="str">
        <f>IF(ROUND(G186-Raw_Data!G194,2)=0,"OK","Corrected")</f>
        <v>OK</v>
      </c>
    </row>
    <row r="187" spans="1:15" x14ac:dyDescent="0.3">
      <c r="A187" s="24" t="str">
        <f>TRIM(Raw_Data!A195)</f>
        <v>AMZ-10487</v>
      </c>
      <c r="B187" s="25">
        <f>Raw_Data!B195</f>
        <v>46276</v>
      </c>
      <c r="C187" s="24" t="str">
        <f>PROPER(TRIM(Raw_Data!C195))</f>
        <v>Python Programming Book</v>
      </c>
      <c r="D187" s="24" t="str">
        <f>TRIM(Raw_Data!D195)</f>
        <v>Books</v>
      </c>
      <c r="E187" s="26">
        <f>Raw_Data!E195</f>
        <v>699</v>
      </c>
      <c r="F187" s="24">
        <f>Raw_Data!F195</f>
        <v>1</v>
      </c>
      <c r="G187" s="26">
        <f t="shared" si="8"/>
        <v>699</v>
      </c>
      <c r="H187" s="24" t="str">
        <f>PROPER(TRIM(Raw_Data!H195))</f>
        <v>Nikhil Joshi</v>
      </c>
      <c r="I187" s="24" t="str">
        <f>PROPER(TRIM(Raw_Data!I195))</f>
        <v>Lucknow</v>
      </c>
      <c r="J187" s="24" t="str">
        <f>TRIM(Raw_Data!J195)</f>
        <v>Cash On Delivery</v>
      </c>
      <c r="K187" s="24" t="str">
        <f>PROPER(TRIM(Raw_Data!K195))</f>
        <v>Delivered</v>
      </c>
      <c r="L187" s="24" t="str">
        <f t="shared" si="9"/>
        <v>Sep</v>
      </c>
      <c r="M187" s="24" t="str">
        <f t="shared" si="10"/>
        <v>Fri</v>
      </c>
      <c r="N187" s="24" t="str">
        <f t="shared" si="11"/>
        <v>Delivered</v>
      </c>
      <c r="O187" s="24" t="str">
        <f>IF(ROUND(G187-Raw_Data!G195,2)=0,"OK","Corrected")</f>
        <v>OK</v>
      </c>
    </row>
    <row r="188" spans="1:15" x14ac:dyDescent="0.3">
      <c r="A188" s="24" t="str">
        <f>TRIM(Raw_Data!A196)</f>
        <v>AMZ-10172</v>
      </c>
      <c r="B188" s="25">
        <f>Raw_Data!B196</f>
        <v>46277</v>
      </c>
      <c r="C188" s="24" t="str">
        <f>PROPER(TRIM(Raw_Data!C196))</f>
        <v>Water Bottle</v>
      </c>
      <c r="D188" s="24" t="str">
        <f>TRIM(Raw_Data!D196)</f>
        <v>Home &amp; Kitchen</v>
      </c>
      <c r="E188" s="26">
        <f>Raw_Data!E196</f>
        <v>499</v>
      </c>
      <c r="F188" s="24">
        <f>Raw_Data!F196</f>
        <v>1</v>
      </c>
      <c r="G188" s="26">
        <f t="shared" si="8"/>
        <v>499</v>
      </c>
      <c r="H188" s="24" t="str">
        <f>PROPER(TRIM(Raw_Data!H196))</f>
        <v>Rajesh Reddy</v>
      </c>
      <c r="I188" s="24" t="str">
        <f>PROPER(TRIM(Raw_Data!I196))</f>
        <v>Delhi</v>
      </c>
      <c r="J188" s="24" t="str">
        <f>TRIM(Raw_Data!J196)</f>
        <v>UPI</v>
      </c>
      <c r="K188" s="24" t="str">
        <f>PROPER(TRIM(Raw_Data!K196))</f>
        <v>Delivered</v>
      </c>
      <c r="L188" s="24" t="str">
        <f t="shared" si="9"/>
        <v>Sep</v>
      </c>
      <c r="M188" s="24" t="str">
        <f t="shared" si="10"/>
        <v>Sat</v>
      </c>
      <c r="N188" s="24" t="str">
        <f t="shared" si="11"/>
        <v>Delivered</v>
      </c>
      <c r="O188" s="24" t="str">
        <f>IF(ROUND(G188-Raw_Data!G196,2)=0,"OK","Corrected")</f>
        <v>OK</v>
      </c>
    </row>
    <row r="189" spans="1:15" x14ac:dyDescent="0.3">
      <c r="A189" s="24" t="str">
        <f>TRIM(Raw_Data!A197)</f>
        <v>AMZ-10178</v>
      </c>
      <c r="B189" s="25">
        <f>Raw_Data!B197</f>
        <v>46277</v>
      </c>
      <c r="C189" s="24" t="str">
        <f>PROPER(TRIM(Raw_Data!C197))</f>
        <v>Water Bottle</v>
      </c>
      <c r="D189" s="24" t="str">
        <f>TRIM(Raw_Data!D197)</f>
        <v>Home &amp; Kitchen</v>
      </c>
      <c r="E189" s="26">
        <f>Raw_Data!E197</f>
        <v>499</v>
      </c>
      <c r="F189" s="24">
        <f>Raw_Data!F197</f>
        <v>1</v>
      </c>
      <c r="G189" s="26">
        <f t="shared" si="8"/>
        <v>499</v>
      </c>
      <c r="H189" s="24" t="str">
        <f>PROPER(TRIM(Raw_Data!H197))</f>
        <v>Aarav Das</v>
      </c>
      <c r="I189" s="24" t="str">
        <f>PROPER(TRIM(Raw_Data!I197))</f>
        <v>Jaipur</v>
      </c>
      <c r="J189" s="24" t="str">
        <f>TRIM(Raw_Data!J197)</f>
        <v>Cash On Delivery</v>
      </c>
      <c r="K189" s="24" t="str">
        <f>PROPER(TRIM(Raw_Data!K197))</f>
        <v>Delivered</v>
      </c>
      <c r="L189" s="24" t="str">
        <f t="shared" si="9"/>
        <v>Sep</v>
      </c>
      <c r="M189" s="24" t="str">
        <f t="shared" si="10"/>
        <v>Sat</v>
      </c>
      <c r="N189" s="24" t="str">
        <f t="shared" si="11"/>
        <v>Delivered</v>
      </c>
      <c r="O189" s="24" t="str">
        <f>IF(ROUND(G189-Raw_Data!G197,2)=0,"OK","Corrected")</f>
        <v>OK</v>
      </c>
    </row>
    <row r="190" spans="1:15" x14ac:dyDescent="0.3">
      <c r="A190" s="24" t="str">
        <f>TRIM(Raw_Data!A198)</f>
        <v>AMZ-10180</v>
      </c>
      <c r="B190" s="25">
        <f>Raw_Data!B198</f>
        <v>46277</v>
      </c>
      <c r="C190" s="24" t="str">
        <f>PROPER(TRIM(Raw_Data!C198))</f>
        <v>Python Programming Book</v>
      </c>
      <c r="D190" s="24" t="str">
        <f>TRIM(Raw_Data!D198)</f>
        <v>Books</v>
      </c>
      <c r="E190" s="26">
        <f>Raw_Data!E198</f>
        <v>699</v>
      </c>
      <c r="F190" s="24">
        <f>Raw_Data!F198</f>
        <v>1</v>
      </c>
      <c r="G190" s="26">
        <f t="shared" si="8"/>
        <v>699</v>
      </c>
      <c r="H190" s="24" t="str">
        <f>PROPER(TRIM(Raw_Data!H198))</f>
        <v>Tanvi Iyer</v>
      </c>
      <c r="I190" s="24" t="str">
        <f>PROPER(TRIM(Raw_Data!I198))</f>
        <v>Kolkata</v>
      </c>
      <c r="J190" s="24" t="str">
        <f>TRIM(Raw_Data!J198)</f>
        <v>Credit Card</v>
      </c>
      <c r="K190" s="24" t="str">
        <f>PROPER(TRIM(Raw_Data!K198))</f>
        <v>Delivered</v>
      </c>
      <c r="L190" s="24" t="str">
        <f t="shared" si="9"/>
        <v>Sep</v>
      </c>
      <c r="M190" s="24" t="str">
        <f t="shared" si="10"/>
        <v>Sat</v>
      </c>
      <c r="N190" s="24" t="str">
        <f t="shared" si="11"/>
        <v>Delivered</v>
      </c>
      <c r="O190" s="24" t="str">
        <f>IF(ROUND(G190-Raw_Data!G198,2)=0,"OK","Corrected")</f>
        <v>OK</v>
      </c>
    </row>
    <row r="191" spans="1:15" x14ac:dyDescent="0.3">
      <c r="A191" s="24" t="str">
        <f>TRIM(Raw_Data!A199)</f>
        <v>AMZ-10246</v>
      </c>
      <c r="B191" s="25">
        <f>Raw_Data!B199</f>
        <v>46277</v>
      </c>
      <c r="C191" s="24" t="str">
        <f>PROPER(TRIM(Raw_Data!C199))</f>
        <v>Running Shoes</v>
      </c>
      <c r="D191" s="24" t="str">
        <f>TRIM(Raw_Data!D199)</f>
        <v>Footwear</v>
      </c>
      <c r="E191" s="26">
        <f>Raw_Data!E199</f>
        <v>3299</v>
      </c>
      <c r="F191" s="24">
        <f>Raw_Data!F199</f>
        <v>1</v>
      </c>
      <c r="G191" s="26">
        <f t="shared" si="8"/>
        <v>3299</v>
      </c>
      <c r="H191" s="24" t="str">
        <f>PROPER(TRIM(Raw_Data!H199))</f>
        <v>Aditya Sharma</v>
      </c>
      <c r="I191" s="24" t="str">
        <f>PROPER(TRIM(Raw_Data!I199))</f>
        <v>Ahmedabad</v>
      </c>
      <c r="J191" s="24" t="str">
        <f>TRIM(Raw_Data!J199)</f>
        <v>UPI</v>
      </c>
      <c r="K191" s="24" t="str">
        <f>PROPER(TRIM(Raw_Data!K199))</f>
        <v>Delivered</v>
      </c>
      <c r="L191" s="24" t="str">
        <f t="shared" si="9"/>
        <v>Sep</v>
      </c>
      <c r="M191" s="24" t="str">
        <f t="shared" si="10"/>
        <v>Sat</v>
      </c>
      <c r="N191" s="24" t="str">
        <f t="shared" si="11"/>
        <v>Delivered</v>
      </c>
      <c r="O191" s="24" t="str">
        <f>IF(ROUND(G191-Raw_Data!G199,2)=0,"OK","Corrected")</f>
        <v>OK</v>
      </c>
    </row>
    <row r="192" spans="1:15" x14ac:dyDescent="0.3">
      <c r="A192" s="24" t="str">
        <f>TRIM(Raw_Data!A200)</f>
        <v>AMZ-10254</v>
      </c>
      <c r="B192" s="25">
        <f>Raw_Data!B200</f>
        <v>46277</v>
      </c>
      <c r="C192" s="24" t="str">
        <f>PROPER(TRIM(Raw_Data!C200))</f>
        <v>Bluetooth Speaker</v>
      </c>
      <c r="D192" s="24" t="str">
        <f>TRIM(Raw_Data!D200)</f>
        <v>Electronics</v>
      </c>
      <c r="E192" s="26">
        <f>Raw_Data!E200</f>
        <v>1999</v>
      </c>
      <c r="F192" s="24">
        <f>Raw_Data!F200</f>
        <v>2</v>
      </c>
      <c r="G192" s="26">
        <f t="shared" si="8"/>
        <v>3998</v>
      </c>
      <c r="H192" s="24" t="str">
        <f>PROPER(TRIM(Raw_Data!H200))</f>
        <v>Pooja Iyer</v>
      </c>
      <c r="I192" s="24" t="str">
        <f>PROPER(TRIM(Raw_Data!I200))</f>
        <v>Mumbai</v>
      </c>
      <c r="J192" s="24" t="str">
        <f>TRIM(Raw_Data!J200)</f>
        <v>UPI</v>
      </c>
      <c r="K192" s="24" t="str">
        <f>PROPER(TRIM(Raw_Data!K200))</f>
        <v>Delivered</v>
      </c>
      <c r="L192" s="24" t="str">
        <f t="shared" si="9"/>
        <v>Sep</v>
      </c>
      <c r="M192" s="24" t="str">
        <f t="shared" si="10"/>
        <v>Sat</v>
      </c>
      <c r="N192" s="24" t="str">
        <f t="shared" si="11"/>
        <v>Delivered</v>
      </c>
      <c r="O192" s="24" t="str">
        <f>IF(ROUND(G192-Raw_Data!G200,2)=0,"OK","Corrected")</f>
        <v>OK</v>
      </c>
    </row>
    <row r="193" spans="1:15" x14ac:dyDescent="0.3">
      <c r="A193" s="24" t="str">
        <f>TRIM(Raw_Data!A201)</f>
        <v>AMZ-10281</v>
      </c>
      <c r="B193" s="25">
        <f>Raw_Data!B201</f>
        <v>46277</v>
      </c>
      <c r="C193" s="24" t="str">
        <f>PROPER(TRIM(Raw_Data!C201))</f>
        <v>Smart Watch</v>
      </c>
      <c r="D193" s="24" t="str">
        <f>TRIM(Raw_Data!D201)</f>
        <v>Electronics</v>
      </c>
      <c r="E193" s="26">
        <f>Raw_Data!E201</f>
        <v>4999</v>
      </c>
      <c r="F193" s="24">
        <f>Raw_Data!F201</f>
        <v>2</v>
      </c>
      <c r="G193" s="26">
        <f t="shared" si="8"/>
        <v>9998</v>
      </c>
      <c r="H193" s="24" t="str">
        <f>PROPER(TRIM(Raw_Data!H201))</f>
        <v>Aarav Joshi</v>
      </c>
      <c r="I193" s="24" t="str">
        <f>PROPER(TRIM(Raw_Data!I201))</f>
        <v>Pune</v>
      </c>
      <c r="J193" s="24" t="str">
        <f>TRIM(Raw_Data!J201)</f>
        <v>Credit Card</v>
      </c>
      <c r="K193" s="24" t="str">
        <f>PROPER(TRIM(Raw_Data!K201))</f>
        <v>Delivered</v>
      </c>
      <c r="L193" s="24" t="str">
        <f t="shared" si="9"/>
        <v>Sep</v>
      </c>
      <c r="M193" s="24" t="str">
        <f t="shared" si="10"/>
        <v>Sat</v>
      </c>
      <c r="N193" s="24" t="str">
        <f t="shared" si="11"/>
        <v>Delivered</v>
      </c>
      <c r="O193" s="24" t="str">
        <f>IF(ROUND(G193-Raw_Data!G201,2)=0,"OK","Corrected")</f>
        <v>OK</v>
      </c>
    </row>
    <row r="194" spans="1:15" x14ac:dyDescent="0.3">
      <c r="A194" s="24" t="str">
        <f>TRIM(Raw_Data!A202)</f>
        <v>AMZ-10302</v>
      </c>
      <c r="B194" s="25">
        <f>Raw_Data!B202</f>
        <v>46277</v>
      </c>
      <c r="C194" s="24" t="str">
        <f>PROPER(TRIM(Raw_Data!C202))</f>
        <v>Casual Sneakers</v>
      </c>
      <c r="D194" s="24" t="str">
        <f>TRIM(Raw_Data!D202)</f>
        <v>Footwear</v>
      </c>
      <c r="E194" s="26">
        <f>Raw_Data!E202</f>
        <v>2199</v>
      </c>
      <c r="F194" s="24">
        <f>Raw_Data!F202</f>
        <v>1</v>
      </c>
      <c r="G194" s="26">
        <f t="shared" ref="G194:G257" si="12">E194*F194</f>
        <v>2199</v>
      </c>
      <c r="H194" s="24" t="str">
        <f>PROPER(TRIM(Raw_Data!H202))</f>
        <v>Priya Joshi</v>
      </c>
      <c r="I194" s="24" t="str">
        <f>PROPER(TRIM(Raw_Data!I202))</f>
        <v>Delhi</v>
      </c>
      <c r="J194" s="24" t="str">
        <f>TRIM(Raw_Data!J202)</f>
        <v>UPI</v>
      </c>
      <c r="K194" s="24" t="str">
        <f>PROPER(TRIM(Raw_Data!K202))</f>
        <v>Delivered</v>
      </c>
      <c r="L194" s="24" t="str">
        <f t="shared" ref="L194:L257" si="13">TEXT(B194,"MMM")</f>
        <v>Sep</v>
      </c>
      <c r="M194" s="24" t="str">
        <f t="shared" ref="M194:M257" si="14">TEXT(B194,"ddd")</f>
        <v>Sat</v>
      </c>
      <c r="N194" s="24" t="str">
        <f t="shared" ref="N194:N257" si="15">IF(K194="Delivered","Delivered",IF(K194="Cancelled","Cancelled","Pending"))</f>
        <v>Delivered</v>
      </c>
      <c r="O194" s="24" t="str">
        <f>IF(ROUND(G194-Raw_Data!G202,2)=0,"OK","Corrected")</f>
        <v>OK</v>
      </c>
    </row>
    <row r="195" spans="1:15" x14ac:dyDescent="0.3">
      <c r="A195" s="24" t="str">
        <f>TRIM(Raw_Data!A203)</f>
        <v>AMZ-10321</v>
      </c>
      <c r="B195" s="25">
        <f>Raw_Data!B203</f>
        <v>46277</v>
      </c>
      <c r="C195" s="24" t="str">
        <f>PROPER(TRIM(Raw_Data!C203))</f>
        <v>Casual Sneakers</v>
      </c>
      <c r="D195" s="24" t="str">
        <f>TRIM(Raw_Data!D203)</f>
        <v>Footwear</v>
      </c>
      <c r="E195" s="26">
        <f>Raw_Data!E203</f>
        <v>2199</v>
      </c>
      <c r="F195" s="24">
        <f>Raw_Data!F203</f>
        <v>1</v>
      </c>
      <c r="G195" s="26">
        <f t="shared" si="12"/>
        <v>2199</v>
      </c>
      <c r="H195" s="24" t="str">
        <f>PROPER(TRIM(Raw_Data!H203))</f>
        <v>Priya Chopra</v>
      </c>
      <c r="I195" s="24" t="str">
        <f>PROPER(TRIM(Raw_Data!I203))</f>
        <v>Bangalore</v>
      </c>
      <c r="J195" s="24" t="str">
        <f>TRIM(Raw_Data!J203)</f>
        <v>Debit Card</v>
      </c>
      <c r="K195" s="24" t="str">
        <f>PROPER(TRIM(Raw_Data!K203))</f>
        <v>Cancelled</v>
      </c>
      <c r="L195" s="24" t="str">
        <f t="shared" si="13"/>
        <v>Sep</v>
      </c>
      <c r="M195" s="24" t="str">
        <f t="shared" si="14"/>
        <v>Sat</v>
      </c>
      <c r="N195" s="24" t="str">
        <f t="shared" si="15"/>
        <v>Cancelled</v>
      </c>
      <c r="O195" s="24" t="str">
        <f>IF(ROUND(G195-Raw_Data!G203,2)=0,"OK","Corrected")</f>
        <v>OK</v>
      </c>
    </row>
    <row r="196" spans="1:15" x14ac:dyDescent="0.3">
      <c r="A196" s="24" t="str">
        <f>TRIM(Raw_Data!A204)</f>
        <v>AMZ-10344</v>
      </c>
      <c r="B196" s="25">
        <f>Raw_Data!B204</f>
        <v>46277</v>
      </c>
      <c r="C196" s="24" t="str">
        <f>PROPER(TRIM(Raw_Data!C204))</f>
        <v>Python Programming Book</v>
      </c>
      <c r="D196" s="24" t="str">
        <f>TRIM(Raw_Data!D204)</f>
        <v>Books</v>
      </c>
      <c r="E196" s="26">
        <f>Raw_Data!E204</f>
        <v>699</v>
      </c>
      <c r="F196" s="24">
        <f>Raw_Data!F204</f>
        <v>1</v>
      </c>
      <c r="G196" s="26">
        <f t="shared" si="12"/>
        <v>699</v>
      </c>
      <c r="H196" s="24" t="str">
        <f>PROPER(TRIM(Raw_Data!H204))</f>
        <v>Rajesh Reddy</v>
      </c>
      <c r="I196" s="24" t="str">
        <f>PROPER(TRIM(Raw_Data!I204))</f>
        <v>Delhi</v>
      </c>
      <c r="J196" s="24" t="str">
        <f>TRIM(Raw_Data!J204)</f>
        <v>Debit Card</v>
      </c>
      <c r="K196" s="24" t="str">
        <f>PROPER(TRIM(Raw_Data!K204))</f>
        <v>Delivered</v>
      </c>
      <c r="L196" s="24" t="str">
        <f t="shared" si="13"/>
        <v>Sep</v>
      </c>
      <c r="M196" s="24" t="str">
        <f t="shared" si="14"/>
        <v>Sat</v>
      </c>
      <c r="N196" s="24" t="str">
        <f t="shared" si="15"/>
        <v>Delivered</v>
      </c>
      <c r="O196" s="24" t="str">
        <f>IF(ROUND(G196-Raw_Data!G204,2)=0,"OK","Corrected")</f>
        <v>OK</v>
      </c>
    </row>
    <row r="197" spans="1:15" x14ac:dyDescent="0.3">
      <c r="A197" s="24" t="str">
        <f>TRIM(Raw_Data!A205)</f>
        <v>AMZ-10350</v>
      </c>
      <c r="B197" s="25">
        <f>Raw_Data!B205</f>
        <v>46277</v>
      </c>
      <c r="C197" s="24" t="str">
        <f>PROPER(TRIM(Raw_Data!C205))</f>
        <v>Wireless Earbuds</v>
      </c>
      <c r="D197" s="24" t="str">
        <f>TRIM(Raw_Data!D205)</f>
        <v>Electronics</v>
      </c>
      <c r="E197" s="26">
        <f>Raw_Data!E205</f>
        <v>2499</v>
      </c>
      <c r="F197" s="24">
        <f>Raw_Data!F205</f>
        <v>1</v>
      </c>
      <c r="G197" s="26">
        <f t="shared" si="12"/>
        <v>2499</v>
      </c>
      <c r="H197" s="24" t="str">
        <f>PROPER(TRIM(Raw_Data!H205))</f>
        <v>Sneha Singh</v>
      </c>
      <c r="I197" s="24" t="str">
        <f>PROPER(TRIM(Raw_Data!I205))</f>
        <v>Mumbai</v>
      </c>
      <c r="J197" s="24" t="str">
        <f>TRIM(Raw_Data!J205)</f>
        <v>UPI</v>
      </c>
      <c r="K197" s="24" t="str">
        <f>PROPER(TRIM(Raw_Data!K205))</f>
        <v>Delivered</v>
      </c>
      <c r="L197" s="24" t="str">
        <f t="shared" si="13"/>
        <v>Sep</v>
      </c>
      <c r="M197" s="24" t="str">
        <f t="shared" si="14"/>
        <v>Sat</v>
      </c>
      <c r="N197" s="24" t="str">
        <f t="shared" si="15"/>
        <v>Delivered</v>
      </c>
      <c r="O197" s="24" t="str">
        <f>IF(ROUND(G197-Raw_Data!G205,2)=0,"OK","Corrected")</f>
        <v>OK</v>
      </c>
    </row>
    <row r="198" spans="1:15" x14ac:dyDescent="0.3">
      <c r="A198" s="24" t="str">
        <f>TRIM(Raw_Data!A206)</f>
        <v>AMZ-10383</v>
      </c>
      <c r="B198" s="25">
        <f>Raw_Data!B206</f>
        <v>46277</v>
      </c>
      <c r="C198" s="24" t="str">
        <f>PROPER(TRIM(Raw_Data!C206))</f>
        <v>Python Programming Book</v>
      </c>
      <c r="D198" s="24" t="str">
        <f>TRIM(Raw_Data!D206)</f>
        <v>Books</v>
      </c>
      <c r="E198" s="26">
        <f>Raw_Data!E206</f>
        <v>699</v>
      </c>
      <c r="F198" s="24">
        <f>Raw_Data!F206</f>
        <v>1</v>
      </c>
      <c r="G198" s="26">
        <f t="shared" si="12"/>
        <v>699</v>
      </c>
      <c r="H198" s="24" t="str">
        <f>PROPER(TRIM(Raw_Data!H206))</f>
        <v>Divya Singh</v>
      </c>
      <c r="I198" s="24" t="str">
        <f>PROPER(TRIM(Raw_Data!I206))</f>
        <v>Delhi</v>
      </c>
      <c r="J198" s="24" t="str">
        <f>TRIM(Raw_Data!J206)</f>
        <v>UPI</v>
      </c>
      <c r="K198" s="24" t="str">
        <f>PROPER(TRIM(Raw_Data!K206))</f>
        <v>Delivered</v>
      </c>
      <c r="L198" s="24" t="str">
        <f t="shared" si="13"/>
        <v>Sep</v>
      </c>
      <c r="M198" s="24" t="str">
        <f t="shared" si="14"/>
        <v>Sat</v>
      </c>
      <c r="N198" s="24" t="str">
        <f t="shared" si="15"/>
        <v>Delivered</v>
      </c>
      <c r="O198" s="24" t="str">
        <f>IF(ROUND(G198-Raw_Data!G206,2)=0,"OK","Corrected")</f>
        <v>OK</v>
      </c>
    </row>
    <row r="199" spans="1:15" x14ac:dyDescent="0.3">
      <c r="A199" s="24" t="str">
        <f>TRIM(Raw_Data!A207)</f>
        <v>AMZ-10409</v>
      </c>
      <c r="B199" s="25">
        <f>Raw_Data!B207</f>
        <v>46277</v>
      </c>
      <c r="C199" s="24" t="str">
        <f>PROPER(TRIM(Raw_Data!C207))</f>
        <v>Self Help Book</v>
      </c>
      <c r="D199" s="24" t="str">
        <f>TRIM(Raw_Data!D207)</f>
        <v>Books</v>
      </c>
      <c r="E199" s="26">
        <f>Raw_Data!E207</f>
        <v>399</v>
      </c>
      <c r="F199" s="24">
        <f>Raw_Data!F207</f>
        <v>1</v>
      </c>
      <c r="G199" s="26">
        <f t="shared" si="12"/>
        <v>399</v>
      </c>
      <c r="H199" s="24" t="str">
        <f>PROPER(TRIM(Raw_Data!H207))</f>
        <v>Ishaan Chopra</v>
      </c>
      <c r="I199" s="24" t="str">
        <f>PROPER(TRIM(Raw_Data!I207))</f>
        <v>Mumbai</v>
      </c>
      <c r="J199" s="24" t="str">
        <f>TRIM(Raw_Data!J207)</f>
        <v>Credit Card</v>
      </c>
      <c r="K199" s="24" t="str">
        <f>PROPER(TRIM(Raw_Data!K207))</f>
        <v>Delivered</v>
      </c>
      <c r="L199" s="24" t="str">
        <f t="shared" si="13"/>
        <v>Sep</v>
      </c>
      <c r="M199" s="24" t="str">
        <f t="shared" si="14"/>
        <v>Sat</v>
      </c>
      <c r="N199" s="24" t="str">
        <f t="shared" si="15"/>
        <v>Delivered</v>
      </c>
      <c r="O199" s="24" t="str">
        <f>IF(ROUND(G199-Raw_Data!G207,2)=0,"OK","Corrected")</f>
        <v>OK</v>
      </c>
    </row>
    <row r="200" spans="1:15" x14ac:dyDescent="0.3">
      <c r="A200" s="24" t="str">
        <f>TRIM(Raw_Data!A208)</f>
        <v>AMZ-10449</v>
      </c>
      <c r="B200" s="25">
        <f>Raw_Data!B208</f>
        <v>46277</v>
      </c>
      <c r="C200" s="24" t="str">
        <f>PROPER(TRIM(Raw_Data!C208))</f>
        <v>Smart Watch</v>
      </c>
      <c r="D200" s="24" t="str">
        <f>TRIM(Raw_Data!D208)</f>
        <v>Electronics</v>
      </c>
      <c r="E200" s="26">
        <f>Raw_Data!E208</f>
        <v>4999</v>
      </c>
      <c r="F200" s="24">
        <f>Raw_Data!F208</f>
        <v>1</v>
      </c>
      <c r="G200" s="26">
        <f t="shared" si="12"/>
        <v>4999</v>
      </c>
      <c r="H200" s="24" t="str">
        <f>PROPER(TRIM(Raw_Data!H208))</f>
        <v>Arjun Joshi</v>
      </c>
      <c r="I200" s="24" t="str">
        <f>PROPER(TRIM(Raw_Data!I208))</f>
        <v>Bangalore</v>
      </c>
      <c r="J200" s="24" t="str">
        <f>TRIM(Raw_Data!J208)</f>
        <v>Debit Card</v>
      </c>
      <c r="K200" s="24" t="str">
        <f>PROPER(TRIM(Raw_Data!K208))</f>
        <v>Delivered</v>
      </c>
      <c r="L200" s="24" t="str">
        <f t="shared" si="13"/>
        <v>Sep</v>
      </c>
      <c r="M200" s="24" t="str">
        <f t="shared" si="14"/>
        <v>Sat</v>
      </c>
      <c r="N200" s="24" t="str">
        <f t="shared" si="15"/>
        <v>Delivered</v>
      </c>
      <c r="O200" s="24" t="str">
        <f>IF(ROUND(G200-Raw_Data!G208,2)=0,"OK","Corrected")</f>
        <v>OK</v>
      </c>
    </row>
    <row r="201" spans="1:15" x14ac:dyDescent="0.3">
      <c r="A201" s="24" t="str">
        <f>TRIM(Raw_Data!A209)</f>
        <v>AMZ-10492</v>
      </c>
      <c r="B201" s="25">
        <f>Raw_Data!B209</f>
        <v>46277</v>
      </c>
      <c r="C201" s="24" t="str">
        <f>PROPER(TRIM(Raw_Data!C209))</f>
        <v>Wireless Earbuds</v>
      </c>
      <c r="D201" s="24" t="str">
        <f>TRIM(Raw_Data!D209)</f>
        <v>Electronics</v>
      </c>
      <c r="E201" s="26">
        <f>Raw_Data!E209</f>
        <v>2499</v>
      </c>
      <c r="F201" s="24">
        <f>Raw_Data!F209</f>
        <v>3</v>
      </c>
      <c r="G201" s="26">
        <f t="shared" si="12"/>
        <v>7497</v>
      </c>
      <c r="H201" s="24" t="str">
        <f>PROPER(TRIM(Raw_Data!H209))</f>
        <v>Aarav Das</v>
      </c>
      <c r="I201" s="24" t="str">
        <f>PROPER(TRIM(Raw_Data!I209))</f>
        <v>Jaipur</v>
      </c>
      <c r="J201" s="24" t="str">
        <f>TRIM(Raw_Data!J209)</f>
        <v>Net Banking</v>
      </c>
      <c r="K201" s="24" t="str">
        <f>PROPER(TRIM(Raw_Data!K209))</f>
        <v>Delivered</v>
      </c>
      <c r="L201" s="24" t="str">
        <f t="shared" si="13"/>
        <v>Sep</v>
      </c>
      <c r="M201" s="24" t="str">
        <f t="shared" si="14"/>
        <v>Sat</v>
      </c>
      <c r="N201" s="24" t="str">
        <f t="shared" si="15"/>
        <v>Delivered</v>
      </c>
      <c r="O201" s="24" t="str">
        <f>IF(ROUND(G201-Raw_Data!G209,2)=0,"OK","Corrected")</f>
        <v>OK</v>
      </c>
    </row>
    <row r="202" spans="1:15" x14ac:dyDescent="0.3">
      <c r="A202" s="24" t="str">
        <f>TRIM(Raw_Data!A210)</f>
        <v>AMZ-10011</v>
      </c>
      <c r="B202" s="25">
        <f>Raw_Data!B210</f>
        <v>46278</v>
      </c>
      <c r="C202" s="24" t="str">
        <f>PROPER(TRIM(Raw_Data!C210))</f>
        <v>Water Bottle</v>
      </c>
      <c r="D202" s="24" t="str">
        <f>TRIM(Raw_Data!D210)</f>
        <v>Home &amp; Kitchen</v>
      </c>
      <c r="E202" s="26">
        <f>Raw_Data!E210</f>
        <v>499</v>
      </c>
      <c r="F202" s="24">
        <f>Raw_Data!F210</f>
        <v>2</v>
      </c>
      <c r="G202" s="26">
        <f t="shared" si="12"/>
        <v>998</v>
      </c>
      <c r="H202" s="24" t="str">
        <f>PROPER(TRIM(Raw_Data!H210))</f>
        <v>Aditya Kulkarni</v>
      </c>
      <c r="I202" s="24" t="str">
        <f>PROPER(TRIM(Raw_Data!I210))</f>
        <v>Bangalore</v>
      </c>
      <c r="J202" s="24" t="str">
        <f>TRIM(Raw_Data!J210)</f>
        <v>Debit Card</v>
      </c>
      <c r="K202" s="24" t="str">
        <f>PROPER(TRIM(Raw_Data!K210))</f>
        <v>Cancelled</v>
      </c>
      <c r="L202" s="24" t="str">
        <f t="shared" si="13"/>
        <v>Sep</v>
      </c>
      <c r="M202" s="24" t="str">
        <f t="shared" si="14"/>
        <v>Sun</v>
      </c>
      <c r="N202" s="24" t="str">
        <f t="shared" si="15"/>
        <v>Cancelled</v>
      </c>
      <c r="O202" s="24" t="str">
        <f>IF(ROUND(G202-Raw_Data!G210,2)=0,"OK","Corrected")</f>
        <v>OK</v>
      </c>
    </row>
    <row r="203" spans="1:15" x14ac:dyDescent="0.3">
      <c r="A203" s="24" t="str">
        <f>TRIM(Raw_Data!A211)</f>
        <v>AMZ-10016</v>
      </c>
      <c r="B203" s="25">
        <f>Raw_Data!B211</f>
        <v>46278</v>
      </c>
      <c r="C203" s="24" t="str">
        <f>PROPER(TRIM(Raw_Data!C211))</f>
        <v>Cotton T-Shirt</v>
      </c>
      <c r="D203" s="24" t="str">
        <f>TRIM(Raw_Data!D211)</f>
        <v>Clothing</v>
      </c>
      <c r="E203" s="26">
        <f>Raw_Data!E211</f>
        <v>599</v>
      </c>
      <c r="F203" s="24">
        <f>Raw_Data!F211</f>
        <v>1</v>
      </c>
      <c r="G203" s="26">
        <f t="shared" si="12"/>
        <v>599</v>
      </c>
      <c r="H203" s="24" t="str">
        <f>PROPER(TRIM(Raw_Data!H211))</f>
        <v>Aarav Das</v>
      </c>
      <c r="I203" s="24" t="str">
        <f>PROPER(TRIM(Raw_Data!I211))</f>
        <v>Jaipur</v>
      </c>
      <c r="J203" s="24" t="str">
        <f>TRIM(Raw_Data!J211)</f>
        <v>UPI</v>
      </c>
      <c r="K203" s="24" t="str">
        <f>PROPER(TRIM(Raw_Data!K211))</f>
        <v>Cancelled</v>
      </c>
      <c r="L203" s="24" t="str">
        <f t="shared" si="13"/>
        <v>Sep</v>
      </c>
      <c r="M203" s="24" t="str">
        <f t="shared" si="14"/>
        <v>Sun</v>
      </c>
      <c r="N203" s="24" t="str">
        <f t="shared" si="15"/>
        <v>Cancelled</v>
      </c>
      <c r="O203" s="24" t="str">
        <f>IF(ROUND(G203-Raw_Data!G211,2)=0,"OK","Corrected")</f>
        <v>OK</v>
      </c>
    </row>
    <row r="204" spans="1:15" x14ac:dyDescent="0.3">
      <c r="A204" s="24" t="str">
        <f>TRIM(Raw_Data!A212)</f>
        <v>AMZ-10058</v>
      </c>
      <c r="B204" s="25">
        <f>Raw_Data!B212</f>
        <v>46278</v>
      </c>
      <c r="C204" s="24" t="str">
        <f>PROPER(TRIM(Raw_Data!C212))</f>
        <v>Bluetooth Speaker</v>
      </c>
      <c r="D204" s="24" t="str">
        <f>TRIM(Raw_Data!D212)</f>
        <v>Electronics</v>
      </c>
      <c r="E204" s="26">
        <f>Raw_Data!E212</f>
        <v>1999</v>
      </c>
      <c r="F204" s="24">
        <f>Raw_Data!F212</f>
        <v>2</v>
      </c>
      <c r="G204" s="26">
        <f t="shared" si="12"/>
        <v>3998</v>
      </c>
      <c r="H204" s="24" t="str">
        <f>PROPER(TRIM(Raw_Data!H212))</f>
        <v>Nikhil Reddy</v>
      </c>
      <c r="I204" s="24" t="str">
        <f>PROPER(TRIM(Raw_Data!I212))</f>
        <v>Chennai</v>
      </c>
      <c r="J204" s="24" t="str">
        <f>TRIM(Raw_Data!J212)</f>
        <v>UPI</v>
      </c>
      <c r="K204" s="24" t="str">
        <f>PROPER(TRIM(Raw_Data!K212))</f>
        <v>Delivered</v>
      </c>
      <c r="L204" s="24" t="str">
        <f t="shared" si="13"/>
        <v>Sep</v>
      </c>
      <c r="M204" s="24" t="str">
        <f t="shared" si="14"/>
        <v>Sun</v>
      </c>
      <c r="N204" s="24" t="str">
        <f t="shared" si="15"/>
        <v>Delivered</v>
      </c>
      <c r="O204" s="24" t="str">
        <f>IF(ROUND(G204-Raw_Data!G212,2)=0,"OK","Corrected")</f>
        <v>OK</v>
      </c>
    </row>
    <row r="205" spans="1:15" x14ac:dyDescent="0.3">
      <c r="A205" s="24" t="str">
        <f>TRIM(Raw_Data!A213)</f>
        <v>AMZ-10068</v>
      </c>
      <c r="B205" s="25">
        <f>Raw_Data!B213</f>
        <v>46278</v>
      </c>
      <c r="C205" s="24" t="str">
        <f>PROPER(TRIM(Raw_Data!C213))</f>
        <v>Casual Sneakers</v>
      </c>
      <c r="D205" s="24" t="str">
        <f>TRIM(Raw_Data!D213)</f>
        <v>Footwear</v>
      </c>
      <c r="E205" s="26">
        <f>Raw_Data!E213</f>
        <v>2199</v>
      </c>
      <c r="F205" s="24">
        <f>Raw_Data!F213</f>
        <v>1</v>
      </c>
      <c r="G205" s="26">
        <f t="shared" si="12"/>
        <v>2199</v>
      </c>
      <c r="H205" s="24" t="str">
        <f>PROPER(TRIM(Raw_Data!H213))</f>
        <v>Neha Patel</v>
      </c>
      <c r="I205" s="24" t="str">
        <f>PROPER(TRIM(Raw_Data!I213))</f>
        <v>Bangalore</v>
      </c>
      <c r="J205" s="24" t="str">
        <f>TRIM(Raw_Data!J213)</f>
        <v>Cash On Delivery</v>
      </c>
      <c r="K205" s="24" t="str">
        <f>PROPER(TRIM(Raw_Data!K213))</f>
        <v>Delivered</v>
      </c>
      <c r="L205" s="24" t="str">
        <f t="shared" si="13"/>
        <v>Sep</v>
      </c>
      <c r="M205" s="24" t="str">
        <f t="shared" si="14"/>
        <v>Sun</v>
      </c>
      <c r="N205" s="24" t="str">
        <f t="shared" si="15"/>
        <v>Delivered</v>
      </c>
      <c r="O205" s="24" t="str">
        <f>IF(ROUND(G205-Raw_Data!G213,2)=0,"OK","Corrected")</f>
        <v>OK</v>
      </c>
    </row>
    <row r="206" spans="1:15" x14ac:dyDescent="0.3">
      <c r="A206" s="24" t="str">
        <f>TRIM(Raw_Data!A214)</f>
        <v>AMZ-10082</v>
      </c>
      <c r="B206" s="25">
        <f>Raw_Data!B214</f>
        <v>46278</v>
      </c>
      <c r="C206" s="24" t="str">
        <f>PROPER(TRIM(Raw_Data!C214))</f>
        <v>Mixer Grinder</v>
      </c>
      <c r="D206" s="24" t="str">
        <f>TRIM(Raw_Data!D214)</f>
        <v>Home &amp; Kitchen</v>
      </c>
      <c r="E206" s="26">
        <f>Raw_Data!E214</f>
        <v>3499</v>
      </c>
      <c r="F206" s="24">
        <f>Raw_Data!F214</f>
        <v>3</v>
      </c>
      <c r="G206" s="26">
        <f t="shared" si="12"/>
        <v>10497</v>
      </c>
      <c r="H206" s="24" t="str">
        <f>PROPER(TRIM(Raw_Data!H214))</f>
        <v>Neha Kulkarni</v>
      </c>
      <c r="I206" s="24" t="str">
        <f>PROPER(TRIM(Raw_Data!I214))</f>
        <v>Delhi</v>
      </c>
      <c r="J206" s="24" t="str">
        <f>TRIM(Raw_Data!J214)</f>
        <v>Net Banking</v>
      </c>
      <c r="K206" s="24" t="str">
        <f>PROPER(TRIM(Raw_Data!K214))</f>
        <v>Delivered</v>
      </c>
      <c r="L206" s="24" t="str">
        <f t="shared" si="13"/>
        <v>Sep</v>
      </c>
      <c r="M206" s="24" t="str">
        <f t="shared" si="14"/>
        <v>Sun</v>
      </c>
      <c r="N206" s="24" t="str">
        <f t="shared" si="15"/>
        <v>Delivered</v>
      </c>
      <c r="O206" s="24" t="str">
        <f>IF(ROUND(G206-Raw_Data!G214,2)=0,"OK","Corrected")</f>
        <v>OK</v>
      </c>
    </row>
    <row r="207" spans="1:15" x14ac:dyDescent="0.3">
      <c r="A207" s="24" t="str">
        <f>TRIM(Raw_Data!A215)</f>
        <v>AMZ-10106</v>
      </c>
      <c r="B207" s="25">
        <f>Raw_Data!B215</f>
        <v>46278</v>
      </c>
      <c r="C207" s="24" t="str">
        <f>PROPER(TRIM(Raw_Data!C215))</f>
        <v>Self Help Book</v>
      </c>
      <c r="D207" s="24" t="str">
        <f>TRIM(Raw_Data!D215)</f>
        <v>Books</v>
      </c>
      <c r="E207" s="26">
        <f>Raw_Data!E215</f>
        <v>399</v>
      </c>
      <c r="F207" s="24">
        <f>Raw_Data!F215</f>
        <v>1</v>
      </c>
      <c r="G207" s="26">
        <f t="shared" si="12"/>
        <v>399</v>
      </c>
      <c r="H207" s="24" t="str">
        <f>PROPER(TRIM(Raw_Data!H215))</f>
        <v>Pooja Iyer</v>
      </c>
      <c r="I207" s="24" t="str">
        <f>PROPER(TRIM(Raw_Data!I215))</f>
        <v>Mumbai</v>
      </c>
      <c r="J207" s="24" t="str">
        <f>TRIM(Raw_Data!J215)</f>
        <v>Credit Card</v>
      </c>
      <c r="K207" s="24" t="str">
        <f>PROPER(TRIM(Raw_Data!K215))</f>
        <v>Delivered</v>
      </c>
      <c r="L207" s="24" t="str">
        <f t="shared" si="13"/>
        <v>Sep</v>
      </c>
      <c r="M207" s="24" t="str">
        <f t="shared" si="14"/>
        <v>Sun</v>
      </c>
      <c r="N207" s="24" t="str">
        <f t="shared" si="15"/>
        <v>Delivered</v>
      </c>
      <c r="O207" s="24" t="str">
        <f>IF(ROUND(G207-Raw_Data!G215,2)=0,"OK","Corrected")</f>
        <v>OK</v>
      </c>
    </row>
    <row r="208" spans="1:15" x14ac:dyDescent="0.3">
      <c r="A208" s="24" t="str">
        <f>TRIM(Raw_Data!A216)</f>
        <v>AMZ-10264</v>
      </c>
      <c r="B208" s="25">
        <f>Raw_Data!B216</f>
        <v>46278</v>
      </c>
      <c r="C208" s="24" t="str">
        <f>PROPER(TRIM(Raw_Data!C216))</f>
        <v>Cotton T-Shirt</v>
      </c>
      <c r="D208" s="24" t="str">
        <f>TRIM(Raw_Data!D216)</f>
        <v>Clothing</v>
      </c>
      <c r="E208" s="26">
        <f>Raw_Data!E216</f>
        <v>599</v>
      </c>
      <c r="F208" s="24">
        <f>Raw_Data!F216</f>
        <v>2</v>
      </c>
      <c r="G208" s="26">
        <f t="shared" si="12"/>
        <v>1198</v>
      </c>
      <c r="H208" s="24" t="str">
        <f>PROPER(TRIM(Raw_Data!H216))</f>
        <v>Vivaan Iyer</v>
      </c>
      <c r="I208" s="24" t="str">
        <f>PROPER(TRIM(Raw_Data!I216))</f>
        <v>Pune</v>
      </c>
      <c r="J208" s="24" t="str">
        <f>TRIM(Raw_Data!J216)</f>
        <v>UPI</v>
      </c>
      <c r="K208" s="24" t="str">
        <f>PROPER(TRIM(Raw_Data!K216))</f>
        <v>Delivered</v>
      </c>
      <c r="L208" s="24" t="str">
        <f t="shared" si="13"/>
        <v>Sep</v>
      </c>
      <c r="M208" s="24" t="str">
        <f t="shared" si="14"/>
        <v>Sun</v>
      </c>
      <c r="N208" s="24" t="str">
        <f t="shared" si="15"/>
        <v>Delivered</v>
      </c>
      <c r="O208" s="24" t="str">
        <f>IF(ROUND(G208-Raw_Data!G216,2)=0,"OK","Corrected")</f>
        <v>OK</v>
      </c>
    </row>
    <row r="209" spans="1:15" x14ac:dyDescent="0.3">
      <c r="A209" s="24" t="str">
        <f>TRIM(Raw_Data!A217)</f>
        <v>AMZ-10307</v>
      </c>
      <c r="B209" s="25">
        <f>Raw_Data!B217</f>
        <v>46278</v>
      </c>
      <c r="C209" s="24" t="str">
        <f>PROPER(TRIM(Raw_Data!C217))</f>
        <v>Water Bottle</v>
      </c>
      <c r="D209" s="24" t="str">
        <f>TRIM(Raw_Data!D217)</f>
        <v>Home &amp; Kitchen</v>
      </c>
      <c r="E209" s="26">
        <f>Raw_Data!E217</f>
        <v>499</v>
      </c>
      <c r="F209" s="24">
        <f>Raw_Data!F217</f>
        <v>1</v>
      </c>
      <c r="G209" s="26">
        <f t="shared" si="12"/>
        <v>499</v>
      </c>
      <c r="H209" s="24" t="str">
        <f>PROPER(TRIM(Raw_Data!H217))</f>
        <v>Aditya Singh</v>
      </c>
      <c r="I209" s="24" t="str">
        <f>PROPER(TRIM(Raw_Data!I217))</f>
        <v>Delhi</v>
      </c>
      <c r="J209" s="24" t="str">
        <f>TRIM(Raw_Data!J217)</f>
        <v>UPI</v>
      </c>
      <c r="K209" s="24" t="str">
        <f>PROPER(TRIM(Raw_Data!K217))</f>
        <v>Shipped</v>
      </c>
      <c r="L209" s="24" t="str">
        <f t="shared" si="13"/>
        <v>Sep</v>
      </c>
      <c r="M209" s="24" t="str">
        <f t="shared" si="14"/>
        <v>Sun</v>
      </c>
      <c r="N209" s="24" t="str">
        <f t="shared" si="15"/>
        <v>Pending</v>
      </c>
      <c r="O209" s="24" t="str">
        <f>IF(ROUND(G209-Raw_Data!G217,2)=0,"OK","Corrected")</f>
        <v>OK</v>
      </c>
    </row>
    <row r="210" spans="1:15" x14ac:dyDescent="0.3">
      <c r="A210" s="24" t="str">
        <f>TRIM(Raw_Data!A218)</f>
        <v>AMZ-10360</v>
      </c>
      <c r="B210" s="25">
        <f>Raw_Data!B218</f>
        <v>46278</v>
      </c>
      <c r="C210" s="24" t="str">
        <f>PROPER(TRIM(Raw_Data!C218))</f>
        <v>Cotton T-Shirt</v>
      </c>
      <c r="D210" s="24" t="str">
        <f>TRIM(Raw_Data!D218)</f>
        <v>Clothing</v>
      </c>
      <c r="E210" s="26">
        <f>Raw_Data!E218</f>
        <v>599</v>
      </c>
      <c r="F210" s="24">
        <f>Raw_Data!F218</f>
        <v>1</v>
      </c>
      <c r="G210" s="26">
        <f t="shared" si="12"/>
        <v>599</v>
      </c>
      <c r="H210" s="24" t="str">
        <f>PROPER(TRIM(Raw_Data!H218))</f>
        <v>Priya Chopra</v>
      </c>
      <c r="I210" s="24" t="str">
        <f>PROPER(TRIM(Raw_Data!I218))</f>
        <v>Bangalore</v>
      </c>
      <c r="J210" s="24" t="str">
        <f>TRIM(Raw_Data!J218)</f>
        <v>Credit Card</v>
      </c>
      <c r="K210" s="24" t="str">
        <f>PROPER(TRIM(Raw_Data!K218))</f>
        <v>Delivered</v>
      </c>
      <c r="L210" s="24" t="str">
        <f t="shared" si="13"/>
        <v>Sep</v>
      </c>
      <c r="M210" s="24" t="str">
        <f t="shared" si="14"/>
        <v>Sun</v>
      </c>
      <c r="N210" s="24" t="str">
        <f t="shared" si="15"/>
        <v>Delivered</v>
      </c>
      <c r="O210" s="24" t="str">
        <f>IF(ROUND(G210-Raw_Data!G218,2)=0,"OK","Corrected")</f>
        <v>OK</v>
      </c>
    </row>
    <row r="211" spans="1:15" x14ac:dyDescent="0.3">
      <c r="A211" s="24" t="str">
        <f>TRIM(Raw_Data!A219)</f>
        <v>AMZ-10372</v>
      </c>
      <c r="B211" s="25">
        <f>Raw_Data!B219</f>
        <v>46278</v>
      </c>
      <c r="C211" s="24" t="str">
        <f>PROPER(TRIM(Raw_Data!C219))</f>
        <v>Water Bottle</v>
      </c>
      <c r="D211" s="24" t="str">
        <f>TRIM(Raw_Data!D219)</f>
        <v>Home &amp; Kitchen</v>
      </c>
      <c r="E211" s="26">
        <f>Raw_Data!E219</f>
        <v>499</v>
      </c>
      <c r="F211" s="24">
        <f>Raw_Data!F219</f>
        <v>1</v>
      </c>
      <c r="G211" s="26">
        <f t="shared" si="12"/>
        <v>499</v>
      </c>
      <c r="H211" s="24" t="str">
        <f>PROPER(TRIM(Raw_Data!H219))</f>
        <v>Kavya Patel</v>
      </c>
      <c r="I211" s="24" t="str">
        <f>PROPER(TRIM(Raw_Data!I219))</f>
        <v>Hyderabad</v>
      </c>
      <c r="J211" s="24" t="str">
        <f>TRIM(Raw_Data!J219)</f>
        <v>UPI</v>
      </c>
      <c r="K211" s="24" t="str">
        <f>PROPER(TRIM(Raw_Data!K219))</f>
        <v>Delivered</v>
      </c>
      <c r="L211" s="24" t="str">
        <f t="shared" si="13"/>
        <v>Sep</v>
      </c>
      <c r="M211" s="24" t="str">
        <f t="shared" si="14"/>
        <v>Sun</v>
      </c>
      <c r="N211" s="24" t="str">
        <f t="shared" si="15"/>
        <v>Delivered</v>
      </c>
      <c r="O211" s="24" t="str">
        <f>IF(ROUND(G211-Raw_Data!G219,2)=0,"OK","Corrected")</f>
        <v>OK</v>
      </c>
    </row>
    <row r="212" spans="1:15" x14ac:dyDescent="0.3">
      <c r="A212" s="24" t="str">
        <f>TRIM(Raw_Data!A220)</f>
        <v>AMZ-10404</v>
      </c>
      <c r="B212" s="25">
        <f>Raw_Data!B220</f>
        <v>46278</v>
      </c>
      <c r="C212" s="24" t="str">
        <f>PROPER(TRIM(Raw_Data!C220))</f>
        <v>Smart Watch</v>
      </c>
      <c r="D212" s="24" t="str">
        <f>TRIM(Raw_Data!D220)</f>
        <v>Electronics</v>
      </c>
      <c r="E212" s="26">
        <f>Raw_Data!E220</f>
        <v>4999</v>
      </c>
      <c r="F212" s="24">
        <f>Raw_Data!F220</f>
        <v>2</v>
      </c>
      <c r="G212" s="26">
        <f t="shared" si="12"/>
        <v>9998</v>
      </c>
      <c r="H212" s="24" t="str">
        <f>PROPER(TRIM(Raw_Data!H220))</f>
        <v>Vikram Iyer</v>
      </c>
      <c r="I212" s="24" t="str">
        <f>PROPER(TRIM(Raw_Data!I220))</f>
        <v>Bangalore</v>
      </c>
      <c r="J212" s="24" t="str">
        <f>TRIM(Raw_Data!J220)</f>
        <v>Net Banking</v>
      </c>
      <c r="K212" s="24" t="str">
        <f>PROPER(TRIM(Raw_Data!K220))</f>
        <v>Delivered</v>
      </c>
      <c r="L212" s="24" t="str">
        <f t="shared" si="13"/>
        <v>Sep</v>
      </c>
      <c r="M212" s="24" t="str">
        <f t="shared" si="14"/>
        <v>Sun</v>
      </c>
      <c r="N212" s="24" t="str">
        <f t="shared" si="15"/>
        <v>Delivered</v>
      </c>
      <c r="O212" s="24" t="str">
        <f>IF(ROUND(G212-Raw_Data!G220,2)=0,"OK","Corrected")</f>
        <v>OK</v>
      </c>
    </row>
    <row r="213" spans="1:15" x14ac:dyDescent="0.3">
      <c r="A213" s="24" t="str">
        <f>TRIM(Raw_Data!A221)</f>
        <v>AMZ-10405</v>
      </c>
      <c r="B213" s="25">
        <f>Raw_Data!B221</f>
        <v>46278</v>
      </c>
      <c r="C213" s="24" t="str">
        <f>PROPER(TRIM(Raw_Data!C221))</f>
        <v>Mixer Grinder</v>
      </c>
      <c r="D213" s="24" t="str">
        <f>TRIM(Raw_Data!D221)</f>
        <v>Home &amp; Kitchen</v>
      </c>
      <c r="E213" s="26">
        <f>Raw_Data!E221</f>
        <v>3499</v>
      </c>
      <c r="F213" s="24">
        <f>Raw_Data!F221</f>
        <v>1</v>
      </c>
      <c r="G213" s="26">
        <f t="shared" si="12"/>
        <v>3499</v>
      </c>
      <c r="H213" s="24" t="str">
        <f>PROPER(TRIM(Raw_Data!H221))</f>
        <v>Vikram Nair</v>
      </c>
      <c r="I213" s="24" t="str">
        <f>PROPER(TRIM(Raw_Data!I221))</f>
        <v>Mumbai</v>
      </c>
      <c r="J213" s="24" t="str">
        <f>TRIM(Raw_Data!J221)</f>
        <v>Debit Card</v>
      </c>
      <c r="K213" s="24" t="str">
        <f>PROPER(TRIM(Raw_Data!K221))</f>
        <v>Delivered</v>
      </c>
      <c r="L213" s="24" t="str">
        <f t="shared" si="13"/>
        <v>Sep</v>
      </c>
      <c r="M213" s="24" t="str">
        <f t="shared" si="14"/>
        <v>Sun</v>
      </c>
      <c r="N213" s="24" t="str">
        <f t="shared" si="15"/>
        <v>Delivered</v>
      </c>
      <c r="O213" s="24" t="str">
        <f>IF(ROUND(G213-Raw_Data!G221,2)=0,"OK","Corrected")</f>
        <v>OK</v>
      </c>
    </row>
    <row r="214" spans="1:15" x14ac:dyDescent="0.3">
      <c r="A214" s="24" t="str">
        <f>TRIM(Raw_Data!A222)</f>
        <v>AMZ-10415</v>
      </c>
      <c r="B214" s="25">
        <f>Raw_Data!B222</f>
        <v>46278</v>
      </c>
      <c r="C214" s="24" t="str">
        <f>PROPER(TRIM(Raw_Data!C222))</f>
        <v>Mixer Grinder</v>
      </c>
      <c r="D214" s="24" t="str">
        <f>TRIM(Raw_Data!D222)</f>
        <v>Home &amp; Kitchen</v>
      </c>
      <c r="E214" s="26">
        <f>Raw_Data!E222</f>
        <v>3499</v>
      </c>
      <c r="F214" s="24">
        <f>Raw_Data!F222</f>
        <v>2</v>
      </c>
      <c r="G214" s="26">
        <f t="shared" si="12"/>
        <v>6998</v>
      </c>
      <c r="H214" s="24" t="str">
        <f>PROPER(TRIM(Raw_Data!H222))</f>
        <v>Vikram Reddy</v>
      </c>
      <c r="I214" s="24" t="str">
        <f>PROPER(TRIM(Raw_Data!I222))</f>
        <v>Hyderabad</v>
      </c>
      <c r="J214" s="24" t="str">
        <f>TRIM(Raw_Data!J222)</f>
        <v>UPI</v>
      </c>
      <c r="K214" s="24" t="str">
        <f>PROPER(TRIM(Raw_Data!K222))</f>
        <v>Delivered</v>
      </c>
      <c r="L214" s="24" t="str">
        <f t="shared" si="13"/>
        <v>Sep</v>
      </c>
      <c r="M214" s="24" t="str">
        <f t="shared" si="14"/>
        <v>Sun</v>
      </c>
      <c r="N214" s="24" t="str">
        <f t="shared" si="15"/>
        <v>Delivered</v>
      </c>
      <c r="O214" s="24" t="str">
        <f>IF(ROUND(G214-Raw_Data!G222,2)=0,"OK","Corrected")</f>
        <v>OK</v>
      </c>
    </row>
    <row r="215" spans="1:15" x14ac:dyDescent="0.3">
      <c r="A215" s="24" t="str">
        <f>TRIM(Raw_Data!A223)</f>
        <v>AMZ-10420</v>
      </c>
      <c r="B215" s="25">
        <f>Raw_Data!B223</f>
        <v>46278</v>
      </c>
      <c r="C215" s="24" t="str">
        <f>PROPER(TRIM(Raw_Data!C223))</f>
        <v>Casual Sneakers</v>
      </c>
      <c r="D215" s="24" t="str">
        <f>TRIM(Raw_Data!D223)</f>
        <v>Footwear</v>
      </c>
      <c r="E215" s="26">
        <f>Raw_Data!E223</f>
        <v>2199</v>
      </c>
      <c r="F215" s="24">
        <f>Raw_Data!F223</f>
        <v>1</v>
      </c>
      <c r="G215" s="26">
        <f t="shared" si="12"/>
        <v>2199</v>
      </c>
      <c r="H215" s="24" t="str">
        <f>PROPER(TRIM(Raw_Data!H223))</f>
        <v>Aarav Das</v>
      </c>
      <c r="I215" s="24" t="str">
        <f>PROPER(TRIM(Raw_Data!I223))</f>
        <v>Jaipur</v>
      </c>
      <c r="J215" s="24" t="str">
        <f>TRIM(Raw_Data!J223)</f>
        <v>UPI</v>
      </c>
      <c r="K215" s="24" t="str">
        <f>PROPER(TRIM(Raw_Data!K223))</f>
        <v>Delivered</v>
      </c>
      <c r="L215" s="24" t="str">
        <f t="shared" si="13"/>
        <v>Sep</v>
      </c>
      <c r="M215" s="24" t="str">
        <f t="shared" si="14"/>
        <v>Sun</v>
      </c>
      <c r="N215" s="24" t="str">
        <f t="shared" si="15"/>
        <v>Delivered</v>
      </c>
      <c r="O215" s="24" t="str">
        <f>IF(ROUND(G215-Raw_Data!G223,2)=0,"OK","Corrected")</f>
        <v>OK</v>
      </c>
    </row>
    <row r="216" spans="1:15" x14ac:dyDescent="0.3">
      <c r="A216" s="24" t="str">
        <f>TRIM(Raw_Data!A224)</f>
        <v>AMZ-10424</v>
      </c>
      <c r="B216" s="25">
        <f>Raw_Data!B224</f>
        <v>46278</v>
      </c>
      <c r="C216" s="24" t="str">
        <f>PROPER(TRIM(Raw_Data!C224))</f>
        <v>Denim Jeans</v>
      </c>
      <c r="D216" s="24" t="str">
        <f>TRIM(Raw_Data!D224)</f>
        <v>Clothing</v>
      </c>
      <c r="E216" s="26">
        <f>Raw_Data!E224</f>
        <v>1799</v>
      </c>
      <c r="F216" s="24">
        <f>Raw_Data!F224</f>
        <v>2</v>
      </c>
      <c r="G216" s="26">
        <f t="shared" si="12"/>
        <v>3598</v>
      </c>
      <c r="H216" s="24" t="str">
        <f>PROPER(TRIM(Raw_Data!H224))</f>
        <v>Kavya Rao</v>
      </c>
      <c r="I216" s="24" t="str">
        <f>PROPER(TRIM(Raw_Data!I224))</f>
        <v>Bangalore</v>
      </c>
      <c r="J216" s="24" t="str">
        <f>TRIM(Raw_Data!J224)</f>
        <v>UPI</v>
      </c>
      <c r="K216" s="24" t="str">
        <f>PROPER(TRIM(Raw_Data!K224))</f>
        <v>Cancelled</v>
      </c>
      <c r="L216" s="24" t="str">
        <f t="shared" si="13"/>
        <v>Sep</v>
      </c>
      <c r="M216" s="24" t="str">
        <f t="shared" si="14"/>
        <v>Sun</v>
      </c>
      <c r="N216" s="24" t="str">
        <f t="shared" si="15"/>
        <v>Cancelled</v>
      </c>
      <c r="O216" s="24" t="str">
        <f>IF(ROUND(G216-Raw_Data!G224,2)=0,"OK","Corrected")</f>
        <v>OK</v>
      </c>
    </row>
    <row r="217" spans="1:15" x14ac:dyDescent="0.3">
      <c r="A217" s="24" t="str">
        <f>TRIM(Raw_Data!A225)</f>
        <v>AMZ-10435</v>
      </c>
      <c r="B217" s="25">
        <f>Raw_Data!B225</f>
        <v>46278</v>
      </c>
      <c r="C217" s="24" t="str">
        <f>PROPER(TRIM(Raw_Data!C225))</f>
        <v>Water Bottle</v>
      </c>
      <c r="D217" s="24" t="str">
        <f>TRIM(Raw_Data!D225)</f>
        <v>Home &amp; Kitchen</v>
      </c>
      <c r="E217" s="26">
        <f>Raw_Data!E225</f>
        <v>499</v>
      </c>
      <c r="F217" s="24">
        <f>Raw_Data!F225</f>
        <v>1</v>
      </c>
      <c r="G217" s="26">
        <f t="shared" si="12"/>
        <v>499</v>
      </c>
      <c r="H217" s="24" t="str">
        <f>PROPER(TRIM(Raw_Data!H225))</f>
        <v>Meera Singh</v>
      </c>
      <c r="I217" s="24" t="str">
        <f>PROPER(TRIM(Raw_Data!I225))</f>
        <v>Hyderabad</v>
      </c>
      <c r="J217" s="24" t="str">
        <f>TRIM(Raw_Data!J225)</f>
        <v>Credit Card</v>
      </c>
      <c r="K217" s="24" t="str">
        <f>PROPER(TRIM(Raw_Data!K225))</f>
        <v>Delivered</v>
      </c>
      <c r="L217" s="24" t="str">
        <f t="shared" si="13"/>
        <v>Sep</v>
      </c>
      <c r="M217" s="24" t="str">
        <f t="shared" si="14"/>
        <v>Sun</v>
      </c>
      <c r="N217" s="24" t="str">
        <f t="shared" si="15"/>
        <v>Delivered</v>
      </c>
      <c r="O217" s="24" t="str">
        <f>IF(ROUND(G217-Raw_Data!G225,2)=0,"OK","Corrected")</f>
        <v>OK</v>
      </c>
    </row>
    <row r="218" spans="1:15" x14ac:dyDescent="0.3">
      <c r="A218" s="24" t="str">
        <f>TRIM(Raw_Data!A226)</f>
        <v>AMZ-10469</v>
      </c>
      <c r="B218" s="25">
        <f>Raw_Data!B226</f>
        <v>46278</v>
      </c>
      <c r="C218" s="24" t="str">
        <f>PROPER(TRIM(Raw_Data!C226))</f>
        <v>Water Bottle</v>
      </c>
      <c r="D218" s="24" t="str">
        <f>TRIM(Raw_Data!D226)</f>
        <v>Home &amp; Kitchen</v>
      </c>
      <c r="E218" s="26">
        <f>Raw_Data!E226</f>
        <v>499</v>
      </c>
      <c r="F218" s="24">
        <f>Raw_Data!F226</f>
        <v>3</v>
      </c>
      <c r="G218" s="26">
        <f t="shared" si="12"/>
        <v>1497</v>
      </c>
      <c r="H218" s="24" t="str">
        <f>PROPER(TRIM(Raw_Data!H226))</f>
        <v>Aditya Sharma</v>
      </c>
      <c r="I218" s="24" t="str">
        <f>PROPER(TRIM(Raw_Data!I226))</f>
        <v>Ahmedabad</v>
      </c>
      <c r="J218" s="24" t="str">
        <f>TRIM(Raw_Data!J226)</f>
        <v>Credit Card</v>
      </c>
      <c r="K218" s="24" t="str">
        <f>PROPER(TRIM(Raw_Data!K226))</f>
        <v>Delivered</v>
      </c>
      <c r="L218" s="24" t="str">
        <f t="shared" si="13"/>
        <v>Sep</v>
      </c>
      <c r="M218" s="24" t="str">
        <f t="shared" si="14"/>
        <v>Sun</v>
      </c>
      <c r="N218" s="24" t="str">
        <f t="shared" si="15"/>
        <v>Delivered</v>
      </c>
      <c r="O218" s="24" t="str">
        <f>IF(ROUND(G218-Raw_Data!G226,2)=0,"OK","Corrected")</f>
        <v>OK</v>
      </c>
    </row>
    <row r="219" spans="1:15" x14ac:dyDescent="0.3">
      <c r="A219" s="24" t="str">
        <f>TRIM(Raw_Data!A227)</f>
        <v>AMZ-10495</v>
      </c>
      <c r="B219" s="25">
        <f>Raw_Data!B227</f>
        <v>46278</v>
      </c>
      <c r="C219" s="24" t="str">
        <f>PROPER(TRIM(Raw_Data!C227))</f>
        <v>Wireless Earbuds</v>
      </c>
      <c r="D219" s="24" t="str">
        <f>TRIM(Raw_Data!D227)</f>
        <v>Electronics</v>
      </c>
      <c r="E219" s="26">
        <f>Raw_Data!E227</f>
        <v>2499</v>
      </c>
      <c r="F219" s="24">
        <f>Raw_Data!F227</f>
        <v>1</v>
      </c>
      <c r="G219" s="26">
        <f t="shared" si="12"/>
        <v>2499</v>
      </c>
      <c r="H219" s="24" t="str">
        <f>PROPER(TRIM(Raw_Data!H227))</f>
        <v>Tanvi Joshi</v>
      </c>
      <c r="I219" s="24" t="str">
        <f>PROPER(TRIM(Raw_Data!I227))</f>
        <v>Bangalore</v>
      </c>
      <c r="J219" s="24" t="str">
        <f>TRIM(Raw_Data!J227)</f>
        <v>Credit Card</v>
      </c>
      <c r="K219" s="24" t="str">
        <f>PROPER(TRIM(Raw_Data!K227))</f>
        <v>Delivered</v>
      </c>
      <c r="L219" s="24" t="str">
        <f t="shared" si="13"/>
        <v>Sep</v>
      </c>
      <c r="M219" s="24" t="str">
        <f t="shared" si="14"/>
        <v>Sun</v>
      </c>
      <c r="N219" s="24" t="str">
        <f t="shared" si="15"/>
        <v>Delivered</v>
      </c>
      <c r="O219" s="24" t="str">
        <f>IF(ROUND(G219-Raw_Data!G227,2)=0,"OK","Corrected")</f>
        <v>OK</v>
      </c>
    </row>
    <row r="220" spans="1:15" x14ac:dyDescent="0.3">
      <c r="A220" s="24" t="str">
        <f>TRIM(Raw_Data!A228)</f>
        <v>AMZ-10496</v>
      </c>
      <c r="B220" s="25">
        <f>Raw_Data!B228</f>
        <v>46278</v>
      </c>
      <c r="C220" s="24" t="str">
        <f>PROPER(TRIM(Raw_Data!C228))</f>
        <v>Sandals</v>
      </c>
      <c r="D220" s="24" t="str">
        <f>TRIM(Raw_Data!D228)</f>
        <v>Footwear</v>
      </c>
      <c r="E220" s="26">
        <f>Raw_Data!E228</f>
        <v>899</v>
      </c>
      <c r="F220" s="24">
        <f>Raw_Data!F228</f>
        <v>1</v>
      </c>
      <c r="G220" s="26">
        <f t="shared" si="12"/>
        <v>899</v>
      </c>
      <c r="H220" s="24" t="str">
        <f>PROPER(TRIM(Raw_Data!H228))</f>
        <v>Sneha Reddy</v>
      </c>
      <c r="I220" s="24" t="str">
        <f>PROPER(TRIM(Raw_Data!I228))</f>
        <v>Pune</v>
      </c>
      <c r="J220" s="24" t="str">
        <f>TRIM(Raw_Data!J228)</f>
        <v>UPI</v>
      </c>
      <c r="K220" s="24" t="str">
        <f>PROPER(TRIM(Raw_Data!K228))</f>
        <v>Delivered</v>
      </c>
      <c r="L220" s="24" t="str">
        <f t="shared" si="13"/>
        <v>Sep</v>
      </c>
      <c r="M220" s="24" t="str">
        <f t="shared" si="14"/>
        <v>Sun</v>
      </c>
      <c r="N220" s="24" t="str">
        <f t="shared" si="15"/>
        <v>Delivered</v>
      </c>
      <c r="O220" s="24" t="str">
        <f>IF(ROUND(G220-Raw_Data!G228,2)=0,"OK","Corrected")</f>
        <v>OK</v>
      </c>
    </row>
    <row r="221" spans="1:15" x14ac:dyDescent="0.3">
      <c r="A221" s="24" t="str">
        <f>TRIM(Raw_Data!A229)</f>
        <v>AMZ-10003</v>
      </c>
      <c r="B221" s="25">
        <f>Raw_Data!B229</f>
        <v>46279</v>
      </c>
      <c r="C221" s="24" t="str">
        <f>PROPER(TRIM(Raw_Data!C229))</f>
        <v>Bluetooth Speaker</v>
      </c>
      <c r="D221" s="24" t="str">
        <f>TRIM(Raw_Data!D229)</f>
        <v>Electronics</v>
      </c>
      <c r="E221" s="26">
        <f>Raw_Data!E229</f>
        <v>1999</v>
      </c>
      <c r="F221" s="24">
        <f>Raw_Data!F229</f>
        <v>1</v>
      </c>
      <c r="G221" s="26">
        <f t="shared" si="12"/>
        <v>1999</v>
      </c>
      <c r="H221" s="24" t="str">
        <f>PROPER(TRIM(Raw_Data!H229))</f>
        <v>Priya Khan</v>
      </c>
      <c r="I221" s="24" t="str">
        <f>PROPER(TRIM(Raw_Data!I229))</f>
        <v>Jaipur</v>
      </c>
      <c r="J221" s="24" t="str">
        <f>TRIM(Raw_Data!J229)</f>
        <v>Net Banking</v>
      </c>
      <c r="K221" s="24" t="str">
        <f>PROPER(TRIM(Raw_Data!K229))</f>
        <v>Pending</v>
      </c>
      <c r="L221" s="24" t="str">
        <f t="shared" si="13"/>
        <v>Sep</v>
      </c>
      <c r="M221" s="24" t="str">
        <f t="shared" si="14"/>
        <v>Mon</v>
      </c>
      <c r="N221" s="24" t="str">
        <f t="shared" si="15"/>
        <v>Pending</v>
      </c>
      <c r="O221" s="24" t="str">
        <f>IF(ROUND(G221-Raw_Data!G229,2)=0,"OK","Corrected")</f>
        <v>OK</v>
      </c>
    </row>
    <row r="222" spans="1:15" x14ac:dyDescent="0.3">
      <c r="A222" s="24" t="str">
        <f>TRIM(Raw_Data!A230)</f>
        <v>AMZ-10067</v>
      </c>
      <c r="B222" s="25">
        <f>Raw_Data!B230</f>
        <v>46279</v>
      </c>
      <c r="C222" s="24" t="str">
        <f>PROPER(TRIM(Raw_Data!C230))</f>
        <v>Water Bottle</v>
      </c>
      <c r="D222" s="24" t="str">
        <f>TRIM(Raw_Data!D230)</f>
        <v>Home &amp; Kitchen</v>
      </c>
      <c r="E222" s="26">
        <f>Raw_Data!E230</f>
        <v>499</v>
      </c>
      <c r="F222" s="24">
        <f>Raw_Data!F230</f>
        <v>2</v>
      </c>
      <c r="G222" s="26">
        <f t="shared" si="12"/>
        <v>998</v>
      </c>
      <c r="H222" s="24" t="str">
        <f>PROPER(TRIM(Raw_Data!H230))</f>
        <v>Aditya Rao</v>
      </c>
      <c r="I222" s="24" t="str">
        <f>PROPER(TRIM(Raw_Data!I230))</f>
        <v>Delhi</v>
      </c>
      <c r="J222" s="24" t="str">
        <f>TRIM(Raw_Data!J230)</f>
        <v>Credit Card</v>
      </c>
      <c r="K222" s="24" t="str">
        <f>PROPER(TRIM(Raw_Data!K230))</f>
        <v>Delivered</v>
      </c>
      <c r="L222" s="24" t="str">
        <f t="shared" si="13"/>
        <v>Sep</v>
      </c>
      <c r="M222" s="24" t="str">
        <f t="shared" si="14"/>
        <v>Mon</v>
      </c>
      <c r="N222" s="24" t="str">
        <f t="shared" si="15"/>
        <v>Delivered</v>
      </c>
      <c r="O222" s="24" t="str">
        <f>IF(ROUND(G222-Raw_Data!G230,2)=0,"OK","Corrected")</f>
        <v>OK</v>
      </c>
    </row>
    <row r="223" spans="1:15" x14ac:dyDescent="0.3">
      <c r="A223" s="24" t="str">
        <f>TRIM(Raw_Data!A231)</f>
        <v>AMZ-10076</v>
      </c>
      <c r="B223" s="25">
        <f>Raw_Data!B231</f>
        <v>46279</v>
      </c>
      <c r="C223" s="24" t="str">
        <f>PROPER(TRIM(Raw_Data!C231))</f>
        <v>Cotton T-Shirt</v>
      </c>
      <c r="D223" s="24" t="str">
        <f>TRIM(Raw_Data!D231)</f>
        <v>Clothing</v>
      </c>
      <c r="E223" s="26">
        <f>Raw_Data!E231</f>
        <v>599</v>
      </c>
      <c r="F223" s="24">
        <f>Raw_Data!F231</f>
        <v>1</v>
      </c>
      <c r="G223" s="26">
        <f t="shared" si="12"/>
        <v>599</v>
      </c>
      <c r="H223" s="24" t="str">
        <f>PROPER(TRIM(Raw_Data!H231))</f>
        <v>Vikram Joshi</v>
      </c>
      <c r="I223" s="24" t="str">
        <f>PROPER(TRIM(Raw_Data!I231))</f>
        <v>Hyderabad</v>
      </c>
      <c r="J223" s="24" t="str">
        <f>TRIM(Raw_Data!J231)</f>
        <v>UPI</v>
      </c>
      <c r="K223" s="24" t="str">
        <f>PROPER(TRIM(Raw_Data!K231))</f>
        <v>Delivered</v>
      </c>
      <c r="L223" s="24" t="str">
        <f t="shared" si="13"/>
        <v>Sep</v>
      </c>
      <c r="M223" s="24" t="str">
        <f t="shared" si="14"/>
        <v>Mon</v>
      </c>
      <c r="N223" s="24" t="str">
        <f t="shared" si="15"/>
        <v>Delivered</v>
      </c>
      <c r="O223" s="24" t="str">
        <f>IF(ROUND(G223-Raw_Data!G231,2)=0,"OK","Corrected")</f>
        <v>OK</v>
      </c>
    </row>
    <row r="224" spans="1:15" x14ac:dyDescent="0.3">
      <c r="A224" s="24" t="str">
        <f>TRIM(Raw_Data!A232)</f>
        <v>AMZ-10139</v>
      </c>
      <c r="B224" s="25">
        <f>Raw_Data!B232</f>
        <v>46279</v>
      </c>
      <c r="C224" s="24" t="str">
        <f>PROPER(TRIM(Raw_Data!C232))</f>
        <v>Cotton T-Shirt</v>
      </c>
      <c r="D224" s="24" t="str">
        <f>TRIM(Raw_Data!D232)</f>
        <v>Clothing</v>
      </c>
      <c r="E224" s="26">
        <f>Raw_Data!E232</f>
        <v>599</v>
      </c>
      <c r="F224" s="24">
        <f>Raw_Data!F232</f>
        <v>1</v>
      </c>
      <c r="G224" s="26">
        <f t="shared" si="12"/>
        <v>599</v>
      </c>
      <c r="H224" s="24" t="str">
        <f>PROPER(TRIM(Raw_Data!H232))</f>
        <v>Arjun Chopra</v>
      </c>
      <c r="I224" s="24" t="str">
        <f>PROPER(TRIM(Raw_Data!I232))</f>
        <v>Bangalore</v>
      </c>
      <c r="J224" s="24" t="str">
        <f>TRIM(Raw_Data!J232)</f>
        <v>Cash On Delivery</v>
      </c>
      <c r="K224" s="24" t="str">
        <f>PROPER(TRIM(Raw_Data!K232))</f>
        <v>Shipped</v>
      </c>
      <c r="L224" s="24" t="str">
        <f t="shared" si="13"/>
        <v>Sep</v>
      </c>
      <c r="M224" s="24" t="str">
        <f t="shared" si="14"/>
        <v>Mon</v>
      </c>
      <c r="N224" s="24" t="str">
        <f t="shared" si="15"/>
        <v>Pending</v>
      </c>
      <c r="O224" s="24" t="str">
        <f>IF(ROUND(G224-Raw_Data!G232,2)=0,"OK","Corrected")</f>
        <v>OK</v>
      </c>
    </row>
    <row r="225" spans="1:15" x14ac:dyDescent="0.3">
      <c r="A225" s="24" t="str">
        <f>TRIM(Raw_Data!A233)</f>
        <v>AMZ-10150</v>
      </c>
      <c r="B225" s="25">
        <f>Raw_Data!B233</f>
        <v>46279</v>
      </c>
      <c r="C225" s="24" t="str">
        <f>PROPER(TRIM(Raw_Data!C233))</f>
        <v>Running Shoes</v>
      </c>
      <c r="D225" s="24" t="str">
        <f>TRIM(Raw_Data!D233)</f>
        <v>Footwear</v>
      </c>
      <c r="E225" s="26">
        <f>Raw_Data!E233</f>
        <v>3299</v>
      </c>
      <c r="F225" s="24">
        <f>Raw_Data!F233</f>
        <v>1</v>
      </c>
      <c r="G225" s="26">
        <f t="shared" si="12"/>
        <v>3299</v>
      </c>
      <c r="H225" s="24" t="str">
        <f>PROPER(TRIM(Raw_Data!H233))</f>
        <v>Priya Reddy</v>
      </c>
      <c r="I225" s="24" t="str">
        <f>PROPER(TRIM(Raw_Data!I233))</f>
        <v>Mumbai</v>
      </c>
      <c r="J225" s="24" t="str">
        <f>TRIM(Raw_Data!J233)</f>
        <v>Debit Card</v>
      </c>
      <c r="K225" s="24" t="str">
        <f>PROPER(TRIM(Raw_Data!K233))</f>
        <v>Delivered</v>
      </c>
      <c r="L225" s="24" t="str">
        <f t="shared" si="13"/>
        <v>Sep</v>
      </c>
      <c r="M225" s="24" t="str">
        <f t="shared" si="14"/>
        <v>Mon</v>
      </c>
      <c r="N225" s="24" t="str">
        <f t="shared" si="15"/>
        <v>Delivered</v>
      </c>
      <c r="O225" s="24" t="str">
        <f>IF(ROUND(G225-Raw_Data!G233,2)=0,"OK","Corrected")</f>
        <v>OK</v>
      </c>
    </row>
    <row r="226" spans="1:15" x14ac:dyDescent="0.3">
      <c r="A226" s="24" t="str">
        <f>TRIM(Raw_Data!A234)</f>
        <v>AMZ-10170</v>
      </c>
      <c r="B226" s="25">
        <f>Raw_Data!B234</f>
        <v>46279</v>
      </c>
      <c r="C226" s="24" t="str">
        <f>PROPER(TRIM(Raw_Data!C234))</f>
        <v>Water Bottle</v>
      </c>
      <c r="D226" s="24" t="str">
        <f>TRIM(Raw_Data!D234)</f>
        <v>Home &amp; Kitchen</v>
      </c>
      <c r="E226" s="26">
        <f>Raw_Data!E234</f>
        <v>499</v>
      </c>
      <c r="F226" s="24">
        <f>Raw_Data!F234</f>
        <v>2</v>
      </c>
      <c r="G226" s="26">
        <f t="shared" si="12"/>
        <v>998</v>
      </c>
      <c r="H226" s="24" t="str">
        <f>PROPER(TRIM(Raw_Data!H234))</f>
        <v>Priya Patel</v>
      </c>
      <c r="I226" s="24" t="str">
        <f>PROPER(TRIM(Raw_Data!I234))</f>
        <v>Pune</v>
      </c>
      <c r="J226" s="24" t="str">
        <f>TRIM(Raw_Data!J234)</f>
        <v>Net Banking</v>
      </c>
      <c r="K226" s="24" t="str">
        <f>PROPER(TRIM(Raw_Data!K234))</f>
        <v>Delivered</v>
      </c>
      <c r="L226" s="24" t="str">
        <f t="shared" si="13"/>
        <v>Sep</v>
      </c>
      <c r="M226" s="24" t="str">
        <f t="shared" si="14"/>
        <v>Mon</v>
      </c>
      <c r="N226" s="24" t="str">
        <f t="shared" si="15"/>
        <v>Delivered</v>
      </c>
      <c r="O226" s="24" t="str">
        <f>IF(ROUND(G226-Raw_Data!G234,2)=0,"OK","Corrected")</f>
        <v>OK</v>
      </c>
    </row>
    <row r="227" spans="1:15" x14ac:dyDescent="0.3">
      <c r="A227" s="24" t="str">
        <f>TRIM(Raw_Data!A235)</f>
        <v>AMZ-10203</v>
      </c>
      <c r="B227" s="25">
        <f>Raw_Data!B235</f>
        <v>46279</v>
      </c>
      <c r="C227" s="24" t="str">
        <f>PROPER(TRIM(Raw_Data!C235))</f>
        <v>Bluetooth Speaker</v>
      </c>
      <c r="D227" s="24" t="str">
        <f>TRIM(Raw_Data!D235)</f>
        <v>Electronics</v>
      </c>
      <c r="E227" s="26">
        <f>Raw_Data!E235</f>
        <v>1999</v>
      </c>
      <c r="F227" s="24">
        <f>Raw_Data!F235</f>
        <v>1</v>
      </c>
      <c r="G227" s="26">
        <f t="shared" si="12"/>
        <v>1999</v>
      </c>
      <c r="H227" s="24" t="str">
        <f>PROPER(TRIM(Raw_Data!H235))</f>
        <v>Meera Rao</v>
      </c>
      <c r="I227" s="24" t="str">
        <f>PROPER(TRIM(Raw_Data!I235))</f>
        <v>Delhi</v>
      </c>
      <c r="J227" s="24" t="str">
        <f>TRIM(Raw_Data!J235)</f>
        <v>UPI</v>
      </c>
      <c r="K227" s="24" t="str">
        <f>PROPER(TRIM(Raw_Data!K235))</f>
        <v>Delivered</v>
      </c>
      <c r="L227" s="24" t="str">
        <f t="shared" si="13"/>
        <v>Sep</v>
      </c>
      <c r="M227" s="24" t="str">
        <f t="shared" si="14"/>
        <v>Mon</v>
      </c>
      <c r="N227" s="24" t="str">
        <f t="shared" si="15"/>
        <v>Delivered</v>
      </c>
      <c r="O227" s="24" t="str">
        <f>IF(ROUND(G227-Raw_Data!G235,2)=0,"OK","Corrected")</f>
        <v>OK</v>
      </c>
    </row>
    <row r="228" spans="1:15" x14ac:dyDescent="0.3">
      <c r="A228" s="24" t="str">
        <f>TRIM(Raw_Data!A236)</f>
        <v>AMZ-10206</v>
      </c>
      <c r="B228" s="25">
        <f>Raw_Data!B236</f>
        <v>46279</v>
      </c>
      <c r="C228" s="24" t="str">
        <f>PROPER(TRIM(Raw_Data!C236))</f>
        <v>Running Shoes</v>
      </c>
      <c r="D228" s="24" t="str">
        <f>TRIM(Raw_Data!D236)</f>
        <v>Footwear</v>
      </c>
      <c r="E228" s="26">
        <f>Raw_Data!E236</f>
        <v>3299</v>
      </c>
      <c r="F228" s="24">
        <f>Raw_Data!F236</f>
        <v>1</v>
      </c>
      <c r="G228" s="26">
        <f t="shared" si="12"/>
        <v>3299</v>
      </c>
      <c r="H228" s="24" t="str">
        <f>PROPER(TRIM(Raw_Data!H236))</f>
        <v>Suresh Nair</v>
      </c>
      <c r="I228" s="24" t="str">
        <f>PROPER(TRIM(Raw_Data!I236))</f>
        <v>Bangalore</v>
      </c>
      <c r="J228" s="24" t="str">
        <f>TRIM(Raw_Data!J236)</f>
        <v>UPI</v>
      </c>
      <c r="K228" s="24" t="str">
        <f>PROPER(TRIM(Raw_Data!K236))</f>
        <v>Delivered</v>
      </c>
      <c r="L228" s="24" t="str">
        <f t="shared" si="13"/>
        <v>Sep</v>
      </c>
      <c r="M228" s="24" t="str">
        <f t="shared" si="14"/>
        <v>Mon</v>
      </c>
      <c r="N228" s="24" t="str">
        <f t="shared" si="15"/>
        <v>Delivered</v>
      </c>
      <c r="O228" s="24" t="str">
        <f>IF(ROUND(G228-Raw_Data!G236,2)=0,"OK","Corrected")</f>
        <v>OK</v>
      </c>
    </row>
    <row r="229" spans="1:15" x14ac:dyDescent="0.3">
      <c r="A229" s="24" t="str">
        <f>TRIM(Raw_Data!A237)</f>
        <v>AMZ-10232</v>
      </c>
      <c r="B229" s="25">
        <f>Raw_Data!B237</f>
        <v>46279</v>
      </c>
      <c r="C229" s="24" t="str">
        <f>PROPER(TRIM(Raw_Data!C237))</f>
        <v>Cotton T-Shirt</v>
      </c>
      <c r="D229" s="24" t="str">
        <f>TRIM(Raw_Data!D237)</f>
        <v>Clothing</v>
      </c>
      <c r="E229" s="26">
        <f>Raw_Data!E237</f>
        <v>599</v>
      </c>
      <c r="F229" s="24">
        <f>Raw_Data!F237</f>
        <v>1</v>
      </c>
      <c r="G229" s="26">
        <f t="shared" si="12"/>
        <v>599</v>
      </c>
      <c r="H229" s="24" t="str">
        <f>PROPER(TRIM(Raw_Data!H237))</f>
        <v>Riya Reddy</v>
      </c>
      <c r="I229" s="24" t="str">
        <f>PROPER(TRIM(Raw_Data!I237))</f>
        <v>Hyderabad</v>
      </c>
      <c r="J229" s="24" t="str">
        <f>TRIM(Raw_Data!J237)</f>
        <v>Credit Card</v>
      </c>
      <c r="K229" s="24" t="str">
        <f>PROPER(TRIM(Raw_Data!K237))</f>
        <v>Delivered</v>
      </c>
      <c r="L229" s="24" t="str">
        <f t="shared" si="13"/>
        <v>Sep</v>
      </c>
      <c r="M229" s="24" t="str">
        <f t="shared" si="14"/>
        <v>Mon</v>
      </c>
      <c r="N229" s="24" t="str">
        <f t="shared" si="15"/>
        <v>Delivered</v>
      </c>
      <c r="O229" s="24" t="str">
        <f>IF(ROUND(G229-Raw_Data!G237,2)=0,"OK","Corrected")</f>
        <v>OK</v>
      </c>
    </row>
    <row r="230" spans="1:15" x14ac:dyDescent="0.3">
      <c r="A230" s="24" t="str">
        <f>TRIM(Raw_Data!A238)</f>
        <v>AMZ-10244</v>
      </c>
      <c r="B230" s="25">
        <f>Raw_Data!B238</f>
        <v>46279</v>
      </c>
      <c r="C230" s="24" t="str">
        <f>PROPER(TRIM(Raw_Data!C238))</f>
        <v>Casual Sneakers</v>
      </c>
      <c r="D230" s="24" t="str">
        <f>TRIM(Raw_Data!D238)</f>
        <v>Footwear</v>
      </c>
      <c r="E230" s="26">
        <f>Raw_Data!E238</f>
        <v>2199</v>
      </c>
      <c r="F230" s="24">
        <f>Raw_Data!F238</f>
        <v>1</v>
      </c>
      <c r="G230" s="26">
        <f t="shared" si="12"/>
        <v>2199</v>
      </c>
      <c r="H230" s="24" t="str">
        <f>PROPER(TRIM(Raw_Data!H238))</f>
        <v>Vikram Joshi</v>
      </c>
      <c r="I230" s="24" t="str">
        <f>PROPER(TRIM(Raw_Data!I238))</f>
        <v>Hyderabad</v>
      </c>
      <c r="J230" s="24" t="str">
        <f>TRIM(Raw_Data!J238)</f>
        <v>UPI</v>
      </c>
      <c r="K230" s="24" t="str">
        <f>PROPER(TRIM(Raw_Data!K238))</f>
        <v>Pending</v>
      </c>
      <c r="L230" s="24" t="str">
        <f t="shared" si="13"/>
        <v>Sep</v>
      </c>
      <c r="M230" s="24" t="str">
        <f t="shared" si="14"/>
        <v>Mon</v>
      </c>
      <c r="N230" s="24" t="str">
        <f t="shared" si="15"/>
        <v>Pending</v>
      </c>
      <c r="O230" s="24" t="str">
        <f>IF(ROUND(G230-Raw_Data!G238,2)=0,"OK","Corrected")</f>
        <v>OK</v>
      </c>
    </row>
    <row r="231" spans="1:15" x14ac:dyDescent="0.3">
      <c r="A231" s="24" t="str">
        <f>TRIM(Raw_Data!A239)</f>
        <v>AMZ-10283</v>
      </c>
      <c r="B231" s="25">
        <f>Raw_Data!B239</f>
        <v>46279</v>
      </c>
      <c r="C231" s="24" t="str">
        <f>PROPER(TRIM(Raw_Data!C239))</f>
        <v>Denim Jeans</v>
      </c>
      <c r="D231" s="24" t="str">
        <f>TRIM(Raw_Data!D239)</f>
        <v>Clothing</v>
      </c>
      <c r="E231" s="26">
        <f>Raw_Data!E239</f>
        <v>1799</v>
      </c>
      <c r="F231" s="24">
        <f>Raw_Data!F239</f>
        <v>2</v>
      </c>
      <c r="G231" s="26">
        <f t="shared" si="12"/>
        <v>3598</v>
      </c>
      <c r="H231" s="24" t="str">
        <f>PROPER(TRIM(Raw_Data!H239))</f>
        <v>Pooja Iyer</v>
      </c>
      <c r="I231" s="24" t="str">
        <f>PROPER(TRIM(Raw_Data!I239))</f>
        <v>Mumbai</v>
      </c>
      <c r="J231" s="24" t="str">
        <f>TRIM(Raw_Data!J239)</f>
        <v>Debit Card</v>
      </c>
      <c r="K231" s="24" t="str">
        <f>PROPER(TRIM(Raw_Data!K239))</f>
        <v>Cancelled</v>
      </c>
      <c r="L231" s="24" t="str">
        <f t="shared" si="13"/>
        <v>Sep</v>
      </c>
      <c r="M231" s="24" t="str">
        <f t="shared" si="14"/>
        <v>Mon</v>
      </c>
      <c r="N231" s="24" t="str">
        <f t="shared" si="15"/>
        <v>Cancelled</v>
      </c>
      <c r="O231" s="24" t="str">
        <f>IF(ROUND(G231-Raw_Data!G239,2)=0,"OK","Corrected")</f>
        <v>OK</v>
      </c>
    </row>
    <row r="232" spans="1:15" x14ac:dyDescent="0.3">
      <c r="A232" s="24" t="str">
        <f>TRIM(Raw_Data!A240)</f>
        <v>AMZ-10295</v>
      </c>
      <c r="B232" s="25">
        <f>Raw_Data!B240</f>
        <v>46279</v>
      </c>
      <c r="C232" s="24" t="str">
        <f>PROPER(TRIM(Raw_Data!C240))</f>
        <v>Wireless Earbuds</v>
      </c>
      <c r="D232" s="24" t="str">
        <f>TRIM(Raw_Data!D240)</f>
        <v>Electronics</v>
      </c>
      <c r="E232" s="26">
        <f>Raw_Data!E240</f>
        <v>2499</v>
      </c>
      <c r="F232" s="24">
        <f>Raw_Data!F240</f>
        <v>1</v>
      </c>
      <c r="G232" s="26">
        <f t="shared" si="12"/>
        <v>2499</v>
      </c>
      <c r="H232" s="24" t="str">
        <f>PROPER(TRIM(Raw_Data!H240))</f>
        <v>Nikhil Kulkarni</v>
      </c>
      <c r="I232" s="24" t="str">
        <f>PROPER(TRIM(Raw_Data!I240))</f>
        <v>Pune</v>
      </c>
      <c r="J232" s="24" t="str">
        <f>TRIM(Raw_Data!J240)</f>
        <v>Credit Card</v>
      </c>
      <c r="K232" s="24" t="str">
        <f>PROPER(TRIM(Raw_Data!K240))</f>
        <v>Delivered</v>
      </c>
      <c r="L232" s="24" t="str">
        <f t="shared" si="13"/>
        <v>Sep</v>
      </c>
      <c r="M232" s="24" t="str">
        <f t="shared" si="14"/>
        <v>Mon</v>
      </c>
      <c r="N232" s="24" t="str">
        <f t="shared" si="15"/>
        <v>Delivered</v>
      </c>
      <c r="O232" s="24" t="str">
        <f>IF(ROUND(G232-Raw_Data!G240,2)=0,"OK","Corrected")</f>
        <v>OK</v>
      </c>
    </row>
    <row r="233" spans="1:15" x14ac:dyDescent="0.3">
      <c r="A233" s="24" t="str">
        <f>TRIM(Raw_Data!A241)</f>
        <v>AMZ-10318</v>
      </c>
      <c r="B233" s="25">
        <f>Raw_Data!B241</f>
        <v>46279</v>
      </c>
      <c r="C233" s="24" t="str">
        <f>PROPER(TRIM(Raw_Data!C241))</f>
        <v>Casual Sneakers</v>
      </c>
      <c r="D233" s="24" t="str">
        <f>TRIM(Raw_Data!D241)</f>
        <v>Footwear</v>
      </c>
      <c r="E233" s="26">
        <f>Raw_Data!E241</f>
        <v>2199</v>
      </c>
      <c r="F233" s="24">
        <f>Raw_Data!F241</f>
        <v>1</v>
      </c>
      <c r="G233" s="26">
        <f t="shared" si="12"/>
        <v>2199</v>
      </c>
      <c r="H233" s="24" t="str">
        <f>PROPER(TRIM(Raw_Data!H241))</f>
        <v>Divya Singh</v>
      </c>
      <c r="I233" s="24" t="str">
        <f>PROPER(TRIM(Raw_Data!I241))</f>
        <v>Delhi</v>
      </c>
      <c r="J233" s="24" t="str">
        <f>TRIM(Raw_Data!J241)</f>
        <v>Credit Card</v>
      </c>
      <c r="K233" s="24" t="str">
        <f>PROPER(TRIM(Raw_Data!K241))</f>
        <v>Delivered</v>
      </c>
      <c r="L233" s="24" t="str">
        <f t="shared" si="13"/>
        <v>Sep</v>
      </c>
      <c r="M233" s="24" t="str">
        <f t="shared" si="14"/>
        <v>Mon</v>
      </c>
      <c r="N233" s="24" t="str">
        <f t="shared" si="15"/>
        <v>Delivered</v>
      </c>
      <c r="O233" s="24" t="str">
        <f>IF(ROUND(G233-Raw_Data!G241,2)=0,"OK","Corrected")</f>
        <v>OK</v>
      </c>
    </row>
    <row r="234" spans="1:15" x14ac:dyDescent="0.3">
      <c r="A234" s="24" t="str">
        <f>TRIM(Raw_Data!A242)</f>
        <v>AMZ-10394</v>
      </c>
      <c r="B234" s="25">
        <f>Raw_Data!B242</f>
        <v>46279</v>
      </c>
      <c r="C234" s="24" t="str">
        <f>PROPER(TRIM(Raw_Data!C242))</f>
        <v>Wireless Earbuds</v>
      </c>
      <c r="D234" s="24" t="str">
        <f>TRIM(Raw_Data!D242)</f>
        <v>Electronics</v>
      </c>
      <c r="E234" s="26">
        <f>Raw_Data!E242</f>
        <v>2499</v>
      </c>
      <c r="F234" s="24">
        <f>Raw_Data!F242</f>
        <v>2</v>
      </c>
      <c r="G234" s="26">
        <f t="shared" si="12"/>
        <v>4998</v>
      </c>
      <c r="H234" s="24" t="str">
        <f>PROPER(TRIM(Raw_Data!H242))</f>
        <v>Sahil Sharma</v>
      </c>
      <c r="I234" s="24" t="str">
        <f>PROPER(TRIM(Raw_Data!I242))</f>
        <v>Ahmedabad</v>
      </c>
      <c r="J234" s="24" t="str">
        <f>TRIM(Raw_Data!J242)</f>
        <v>Cash On Delivery</v>
      </c>
      <c r="K234" s="24" t="str">
        <f>PROPER(TRIM(Raw_Data!K242))</f>
        <v>Pending</v>
      </c>
      <c r="L234" s="24" t="str">
        <f t="shared" si="13"/>
        <v>Sep</v>
      </c>
      <c r="M234" s="24" t="str">
        <f t="shared" si="14"/>
        <v>Mon</v>
      </c>
      <c r="N234" s="24" t="str">
        <f t="shared" si="15"/>
        <v>Pending</v>
      </c>
      <c r="O234" s="24" t="str">
        <f>IF(ROUND(G234-Raw_Data!G242,2)=0,"OK","Corrected")</f>
        <v>OK</v>
      </c>
    </row>
    <row r="235" spans="1:15" x14ac:dyDescent="0.3">
      <c r="A235" s="24" t="str">
        <f>TRIM(Raw_Data!A243)</f>
        <v>AMZ-10418</v>
      </c>
      <c r="B235" s="25">
        <f>Raw_Data!B243</f>
        <v>46279</v>
      </c>
      <c r="C235" s="24" t="str">
        <f>PROPER(TRIM(Raw_Data!C243))</f>
        <v>Smart Watch</v>
      </c>
      <c r="D235" s="24" t="str">
        <f>TRIM(Raw_Data!D243)</f>
        <v>Electronics</v>
      </c>
      <c r="E235" s="26">
        <f>Raw_Data!E243</f>
        <v>4999</v>
      </c>
      <c r="F235" s="24">
        <f>Raw_Data!F243</f>
        <v>1</v>
      </c>
      <c r="G235" s="26">
        <f t="shared" si="12"/>
        <v>4999</v>
      </c>
      <c r="H235" s="24" t="str">
        <f>PROPER(TRIM(Raw_Data!H243))</f>
        <v>Karan Joshi</v>
      </c>
      <c r="I235" s="24" t="str">
        <f>PROPER(TRIM(Raw_Data!I243))</f>
        <v>Hyderabad</v>
      </c>
      <c r="J235" s="24" t="str">
        <f>TRIM(Raw_Data!J243)</f>
        <v>UPI</v>
      </c>
      <c r="K235" s="24" t="str">
        <f>PROPER(TRIM(Raw_Data!K243))</f>
        <v>Cancelled</v>
      </c>
      <c r="L235" s="24" t="str">
        <f t="shared" si="13"/>
        <v>Sep</v>
      </c>
      <c r="M235" s="24" t="str">
        <f t="shared" si="14"/>
        <v>Mon</v>
      </c>
      <c r="N235" s="24" t="str">
        <f t="shared" si="15"/>
        <v>Cancelled</v>
      </c>
      <c r="O235" s="24" t="str">
        <f>IF(ROUND(G235-Raw_Data!G243,2)=0,"OK","Corrected")</f>
        <v>OK</v>
      </c>
    </row>
    <row r="236" spans="1:15" x14ac:dyDescent="0.3">
      <c r="A236" s="24" t="str">
        <f>TRIM(Raw_Data!A244)</f>
        <v>AMZ-10421</v>
      </c>
      <c r="B236" s="25">
        <f>Raw_Data!B244</f>
        <v>46279</v>
      </c>
      <c r="C236" s="24" t="str">
        <f>PROPER(TRIM(Raw_Data!C244))</f>
        <v>Self Help Book</v>
      </c>
      <c r="D236" s="24" t="str">
        <f>TRIM(Raw_Data!D244)</f>
        <v>Books</v>
      </c>
      <c r="E236" s="26">
        <f>Raw_Data!E244</f>
        <v>399</v>
      </c>
      <c r="F236" s="24">
        <f>Raw_Data!F244</f>
        <v>1</v>
      </c>
      <c r="G236" s="26">
        <f t="shared" si="12"/>
        <v>399</v>
      </c>
      <c r="H236" s="24" t="str">
        <f>PROPER(TRIM(Raw_Data!H244))</f>
        <v>Meera Mehta</v>
      </c>
      <c r="I236" s="24" t="str">
        <f>PROPER(TRIM(Raw_Data!I244))</f>
        <v>Kolkata</v>
      </c>
      <c r="J236" s="24" t="str">
        <f>TRIM(Raw_Data!J244)</f>
        <v>Cash On Delivery</v>
      </c>
      <c r="K236" s="24" t="str">
        <f>PROPER(TRIM(Raw_Data!K244))</f>
        <v>Cancelled</v>
      </c>
      <c r="L236" s="24" t="str">
        <f t="shared" si="13"/>
        <v>Sep</v>
      </c>
      <c r="M236" s="24" t="str">
        <f t="shared" si="14"/>
        <v>Mon</v>
      </c>
      <c r="N236" s="24" t="str">
        <f t="shared" si="15"/>
        <v>Cancelled</v>
      </c>
      <c r="O236" s="24" t="str">
        <f>IF(ROUND(G236-Raw_Data!G244,2)=0,"OK","Corrected")</f>
        <v>OK</v>
      </c>
    </row>
    <row r="237" spans="1:15" x14ac:dyDescent="0.3">
      <c r="A237" s="24" t="str">
        <f>TRIM(Raw_Data!A245)</f>
        <v>AMZ-10430</v>
      </c>
      <c r="B237" s="25">
        <f>Raw_Data!B245</f>
        <v>46279</v>
      </c>
      <c r="C237" s="24" t="str">
        <f>PROPER(TRIM(Raw_Data!C245))</f>
        <v>Sandals</v>
      </c>
      <c r="D237" s="24" t="str">
        <f>TRIM(Raw_Data!D245)</f>
        <v>Footwear</v>
      </c>
      <c r="E237" s="26">
        <f>Raw_Data!E245</f>
        <v>899</v>
      </c>
      <c r="F237" s="24">
        <f>Raw_Data!F245</f>
        <v>3</v>
      </c>
      <c r="G237" s="26">
        <f t="shared" si="12"/>
        <v>2697</v>
      </c>
      <c r="H237" s="24" t="str">
        <f>PROPER(TRIM(Raw_Data!H245))</f>
        <v>Sneha Reddy</v>
      </c>
      <c r="I237" s="24" t="str">
        <f>PROPER(TRIM(Raw_Data!I245))</f>
        <v>Pune</v>
      </c>
      <c r="J237" s="24" t="str">
        <f>TRIM(Raw_Data!J245)</f>
        <v>Credit Card</v>
      </c>
      <c r="K237" s="24" t="str">
        <f>PROPER(TRIM(Raw_Data!K245))</f>
        <v>Cancelled</v>
      </c>
      <c r="L237" s="24" t="str">
        <f t="shared" si="13"/>
        <v>Sep</v>
      </c>
      <c r="M237" s="24" t="str">
        <f t="shared" si="14"/>
        <v>Mon</v>
      </c>
      <c r="N237" s="24" t="str">
        <f t="shared" si="15"/>
        <v>Cancelled</v>
      </c>
      <c r="O237" s="24" t="str">
        <f>IF(ROUND(G237-Raw_Data!G245,2)=0,"OK","Corrected")</f>
        <v>OK</v>
      </c>
    </row>
    <row r="238" spans="1:15" x14ac:dyDescent="0.3">
      <c r="A238" s="24" t="str">
        <f>TRIM(Raw_Data!A246)</f>
        <v>AMZ-10450</v>
      </c>
      <c r="B238" s="25">
        <f>Raw_Data!B246</f>
        <v>46279</v>
      </c>
      <c r="C238" s="24" t="str">
        <f>PROPER(TRIM(Raw_Data!C246))</f>
        <v>Casual Sneakers</v>
      </c>
      <c r="D238" s="24" t="str">
        <f>TRIM(Raw_Data!D246)</f>
        <v>Footwear</v>
      </c>
      <c r="E238" s="26">
        <f>Raw_Data!E246</f>
        <v>2199</v>
      </c>
      <c r="F238" s="24">
        <f>Raw_Data!F246</f>
        <v>1</v>
      </c>
      <c r="G238" s="26">
        <f t="shared" si="12"/>
        <v>2199</v>
      </c>
      <c r="H238" s="24" t="str">
        <f>PROPER(TRIM(Raw_Data!H246))</f>
        <v>Neha Kulkarni</v>
      </c>
      <c r="I238" s="24" t="str">
        <f>PROPER(TRIM(Raw_Data!I246))</f>
        <v>Delhi</v>
      </c>
      <c r="J238" s="24" t="str">
        <f>TRIM(Raw_Data!J246)</f>
        <v>UPI</v>
      </c>
      <c r="K238" s="24" t="str">
        <f>PROPER(TRIM(Raw_Data!K246))</f>
        <v>Delivered</v>
      </c>
      <c r="L238" s="24" t="str">
        <f t="shared" si="13"/>
        <v>Sep</v>
      </c>
      <c r="M238" s="24" t="str">
        <f t="shared" si="14"/>
        <v>Mon</v>
      </c>
      <c r="N238" s="24" t="str">
        <f t="shared" si="15"/>
        <v>Delivered</v>
      </c>
      <c r="O238" s="24" t="str">
        <f>IF(ROUND(G238-Raw_Data!G246,2)=0,"OK","Corrected")</f>
        <v>OK</v>
      </c>
    </row>
    <row r="239" spans="1:15" x14ac:dyDescent="0.3">
      <c r="A239" s="24" t="str">
        <f>TRIM(Raw_Data!A247)</f>
        <v>AMZ-10472</v>
      </c>
      <c r="B239" s="25">
        <f>Raw_Data!B247</f>
        <v>46279</v>
      </c>
      <c r="C239" s="24" t="str">
        <f>PROPER(TRIM(Raw_Data!C247))</f>
        <v>Wireless Earbuds</v>
      </c>
      <c r="D239" s="24" t="str">
        <f>TRIM(Raw_Data!D247)</f>
        <v>Electronics</v>
      </c>
      <c r="E239" s="26">
        <f>Raw_Data!E247</f>
        <v>2499</v>
      </c>
      <c r="F239" s="24">
        <f>Raw_Data!F247</f>
        <v>1</v>
      </c>
      <c r="G239" s="26">
        <f t="shared" si="12"/>
        <v>2499</v>
      </c>
      <c r="H239" s="24" t="str">
        <f>PROPER(TRIM(Raw_Data!H247))</f>
        <v>Divya Singh</v>
      </c>
      <c r="I239" s="24" t="str">
        <f>PROPER(TRIM(Raw_Data!I247))</f>
        <v>Delhi</v>
      </c>
      <c r="J239" s="24" t="str">
        <f>TRIM(Raw_Data!J247)</f>
        <v>Cash On Delivery</v>
      </c>
      <c r="K239" s="24" t="str">
        <f>PROPER(TRIM(Raw_Data!K247))</f>
        <v>Delivered</v>
      </c>
      <c r="L239" s="24" t="str">
        <f t="shared" si="13"/>
        <v>Sep</v>
      </c>
      <c r="M239" s="24" t="str">
        <f t="shared" si="14"/>
        <v>Mon</v>
      </c>
      <c r="N239" s="24" t="str">
        <f t="shared" si="15"/>
        <v>Delivered</v>
      </c>
      <c r="O239" s="24" t="str">
        <f>IF(ROUND(G239-Raw_Data!G247,2)=0,"OK","Corrected")</f>
        <v>OK</v>
      </c>
    </row>
    <row r="240" spans="1:15" x14ac:dyDescent="0.3">
      <c r="A240" s="24" t="str">
        <f>TRIM(Raw_Data!A248)</f>
        <v>AMZ-10481</v>
      </c>
      <c r="B240" s="25">
        <f>Raw_Data!B248</f>
        <v>46279</v>
      </c>
      <c r="C240" s="24" t="str">
        <f>PROPER(TRIM(Raw_Data!C248))</f>
        <v>Water Bottle</v>
      </c>
      <c r="D240" s="24" t="str">
        <f>TRIM(Raw_Data!D248)</f>
        <v>Home &amp; Kitchen</v>
      </c>
      <c r="E240" s="26">
        <f>Raw_Data!E248</f>
        <v>499</v>
      </c>
      <c r="F240" s="24">
        <f>Raw_Data!F248</f>
        <v>2</v>
      </c>
      <c r="G240" s="26">
        <f t="shared" si="12"/>
        <v>998</v>
      </c>
      <c r="H240" s="24" t="str">
        <f>PROPER(TRIM(Raw_Data!H248))</f>
        <v>Vikram Reddy</v>
      </c>
      <c r="I240" s="24" t="str">
        <f>PROPER(TRIM(Raw_Data!I248))</f>
        <v>Hyderabad</v>
      </c>
      <c r="J240" s="24" t="str">
        <f>TRIM(Raw_Data!J248)</f>
        <v>Debit Card</v>
      </c>
      <c r="K240" s="24" t="str">
        <f>PROPER(TRIM(Raw_Data!K248))</f>
        <v>Delivered</v>
      </c>
      <c r="L240" s="24" t="str">
        <f t="shared" si="13"/>
        <v>Sep</v>
      </c>
      <c r="M240" s="24" t="str">
        <f t="shared" si="14"/>
        <v>Mon</v>
      </c>
      <c r="N240" s="24" t="str">
        <f t="shared" si="15"/>
        <v>Delivered</v>
      </c>
      <c r="O240" s="24" t="str">
        <f>IF(ROUND(G240-Raw_Data!G248,2)=0,"OK","Corrected")</f>
        <v>OK</v>
      </c>
    </row>
    <row r="241" spans="1:15" x14ac:dyDescent="0.3">
      <c r="A241" s="24" t="str">
        <f>TRIM(Raw_Data!A249)</f>
        <v>AMZ-10499</v>
      </c>
      <c r="B241" s="25">
        <f>Raw_Data!B249</f>
        <v>46279</v>
      </c>
      <c r="C241" s="24" t="str">
        <f>PROPER(TRIM(Raw_Data!C249))</f>
        <v>Water Bottle</v>
      </c>
      <c r="D241" s="24" t="str">
        <f>TRIM(Raw_Data!D249)</f>
        <v>Home &amp; Kitchen</v>
      </c>
      <c r="E241" s="26">
        <f>Raw_Data!E249</f>
        <v>499</v>
      </c>
      <c r="F241" s="24">
        <f>Raw_Data!F249</f>
        <v>1</v>
      </c>
      <c r="G241" s="26">
        <f t="shared" si="12"/>
        <v>499</v>
      </c>
      <c r="H241" s="24" t="str">
        <f>PROPER(TRIM(Raw_Data!H249))</f>
        <v>Sneha Reddy</v>
      </c>
      <c r="I241" s="24" t="str">
        <f>PROPER(TRIM(Raw_Data!I249))</f>
        <v>Pune</v>
      </c>
      <c r="J241" s="24" t="str">
        <f>TRIM(Raw_Data!J249)</f>
        <v>Debit Card</v>
      </c>
      <c r="K241" s="24" t="str">
        <f>PROPER(TRIM(Raw_Data!K249))</f>
        <v>Cancelled</v>
      </c>
      <c r="L241" s="24" t="str">
        <f t="shared" si="13"/>
        <v>Sep</v>
      </c>
      <c r="M241" s="24" t="str">
        <f t="shared" si="14"/>
        <v>Mon</v>
      </c>
      <c r="N241" s="24" t="str">
        <f t="shared" si="15"/>
        <v>Cancelled</v>
      </c>
      <c r="O241" s="24" t="str">
        <f>IF(ROUND(G241-Raw_Data!G249,2)=0,"OK","Corrected")</f>
        <v>OK</v>
      </c>
    </row>
    <row r="242" spans="1:15" x14ac:dyDescent="0.3">
      <c r="A242" s="24" t="str">
        <f>TRIM(Raw_Data!A250)</f>
        <v>AMZ-10010</v>
      </c>
      <c r="B242" s="25">
        <f>Raw_Data!B250</f>
        <v>46280</v>
      </c>
      <c r="C242" s="24" t="str">
        <f>PROPER(TRIM(Raw_Data!C250))</f>
        <v>Water Bottle</v>
      </c>
      <c r="D242" s="24" t="str">
        <f>TRIM(Raw_Data!D250)</f>
        <v>Home &amp; Kitchen</v>
      </c>
      <c r="E242" s="26">
        <f>Raw_Data!E250</f>
        <v>499</v>
      </c>
      <c r="F242" s="24">
        <f>Raw_Data!F250</f>
        <v>1</v>
      </c>
      <c r="G242" s="26">
        <f t="shared" si="12"/>
        <v>499</v>
      </c>
      <c r="H242" s="24" t="str">
        <f>PROPER(TRIM(Raw_Data!H250))</f>
        <v>Neha Patel</v>
      </c>
      <c r="I242" s="24" t="str">
        <f>PROPER(TRIM(Raw_Data!I250))</f>
        <v>Bangalore</v>
      </c>
      <c r="J242" s="24" t="str">
        <f>TRIM(Raw_Data!J250)</f>
        <v>Cash On Delivery</v>
      </c>
      <c r="K242" s="24" t="str">
        <f>PROPER(TRIM(Raw_Data!K250))</f>
        <v>Delivered</v>
      </c>
      <c r="L242" s="24" t="str">
        <f t="shared" si="13"/>
        <v>Sep</v>
      </c>
      <c r="M242" s="24" t="str">
        <f t="shared" si="14"/>
        <v>Tue</v>
      </c>
      <c r="N242" s="24" t="str">
        <f t="shared" si="15"/>
        <v>Delivered</v>
      </c>
      <c r="O242" s="24" t="str">
        <f>IF(ROUND(G242-Raw_Data!G250,2)=0,"OK","Corrected")</f>
        <v>OK</v>
      </c>
    </row>
    <row r="243" spans="1:15" x14ac:dyDescent="0.3">
      <c r="A243" s="24" t="str">
        <f>TRIM(Raw_Data!A251)</f>
        <v>AMZ-10012</v>
      </c>
      <c r="B243" s="25">
        <f>Raw_Data!B251</f>
        <v>46280</v>
      </c>
      <c r="C243" s="24" t="str">
        <f>PROPER(TRIM(Raw_Data!C251))</f>
        <v>Smart Watch</v>
      </c>
      <c r="D243" s="24" t="str">
        <f>TRIM(Raw_Data!D251)</f>
        <v>Electronics</v>
      </c>
      <c r="E243" s="26">
        <f>Raw_Data!E251</f>
        <v>4999</v>
      </c>
      <c r="F243" s="24">
        <f>Raw_Data!F251</f>
        <v>1</v>
      </c>
      <c r="G243" s="26">
        <f t="shared" si="12"/>
        <v>4999</v>
      </c>
      <c r="H243" s="24" t="str">
        <f>PROPER(TRIM(Raw_Data!H251))</f>
        <v>Priya Chopra</v>
      </c>
      <c r="I243" s="24" t="str">
        <f>PROPER(TRIM(Raw_Data!I251))</f>
        <v>Bangalore</v>
      </c>
      <c r="J243" s="24" t="str">
        <f>TRIM(Raw_Data!J251)</f>
        <v>UPI</v>
      </c>
      <c r="K243" s="24" t="str">
        <f>PROPER(TRIM(Raw_Data!K251))</f>
        <v>Delivered</v>
      </c>
      <c r="L243" s="24" t="str">
        <f t="shared" si="13"/>
        <v>Sep</v>
      </c>
      <c r="M243" s="24" t="str">
        <f t="shared" si="14"/>
        <v>Tue</v>
      </c>
      <c r="N243" s="24" t="str">
        <f t="shared" si="15"/>
        <v>Delivered</v>
      </c>
      <c r="O243" s="24" t="str">
        <f>IF(ROUND(G243-Raw_Data!G251,2)=0,"OK","Corrected")</f>
        <v>OK</v>
      </c>
    </row>
    <row r="244" spans="1:15" x14ac:dyDescent="0.3">
      <c r="A244" s="24" t="str">
        <f>TRIM(Raw_Data!A252)</f>
        <v>AMZ-10013</v>
      </c>
      <c r="B244" s="25">
        <f>Raw_Data!B252</f>
        <v>46280</v>
      </c>
      <c r="C244" s="24" t="str">
        <f>PROPER(TRIM(Raw_Data!C252))</f>
        <v>Sandals</v>
      </c>
      <c r="D244" s="24" t="str">
        <f>TRIM(Raw_Data!D252)</f>
        <v>Footwear</v>
      </c>
      <c r="E244" s="26">
        <f>Raw_Data!E252</f>
        <v>899</v>
      </c>
      <c r="F244" s="24">
        <f>Raw_Data!F252</f>
        <v>3</v>
      </c>
      <c r="G244" s="26">
        <f t="shared" si="12"/>
        <v>2697</v>
      </c>
      <c r="H244" s="24" t="str">
        <f>PROPER(TRIM(Raw_Data!H252))</f>
        <v>Aditya Rao</v>
      </c>
      <c r="I244" s="24" t="str">
        <f>PROPER(TRIM(Raw_Data!I252))</f>
        <v>Delhi</v>
      </c>
      <c r="J244" s="24" t="str">
        <f>TRIM(Raw_Data!J252)</f>
        <v>Cash On Delivery</v>
      </c>
      <c r="K244" s="24" t="str">
        <f>PROPER(TRIM(Raw_Data!K252))</f>
        <v>Cancelled</v>
      </c>
      <c r="L244" s="24" t="str">
        <f t="shared" si="13"/>
        <v>Sep</v>
      </c>
      <c r="M244" s="24" t="str">
        <f t="shared" si="14"/>
        <v>Tue</v>
      </c>
      <c r="N244" s="24" t="str">
        <f t="shared" si="15"/>
        <v>Cancelled</v>
      </c>
      <c r="O244" s="24" t="str">
        <f>IF(ROUND(G244-Raw_Data!G252,2)=0,"OK","Corrected")</f>
        <v>OK</v>
      </c>
    </row>
    <row r="245" spans="1:15" x14ac:dyDescent="0.3">
      <c r="A245" s="24" t="str">
        <f>TRIM(Raw_Data!A253)</f>
        <v>AMZ-10041</v>
      </c>
      <c r="B245" s="25">
        <f>Raw_Data!B253</f>
        <v>46280</v>
      </c>
      <c r="C245" s="24" t="str">
        <f>PROPER(TRIM(Raw_Data!C253))</f>
        <v>Sandals</v>
      </c>
      <c r="D245" s="24" t="str">
        <f>TRIM(Raw_Data!D253)</f>
        <v>Footwear</v>
      </c>
      <c r="E245" s="26">
        <f>Raw_Data!E253</f>
        <v>899</v>
      </c>
      <c r="F245" s="24">
        <f>Raw_Data!F253</f>
        <v>1</v>
      </c>
      <c r="G245" s="26">
        <f t="shared" si="12"/>
        <v>899</v>
      </c>
      <c r="H245" s="24" t="str">
        <f>PROPER(TRIM(Raw_Data!H253))</f>
        <v>Vivaan Joshi</v>
      </c>
      <c r="I245" s="24" t="str">
        <f>PROPER(TRIM(Raw_Data!I253))</f>
        <v>Pune</v>
      </c>
      <c r="J245" s="24" t="str">
        <f>TRIM(Raw_Data!J253)</f>
        <v>UPI</v>
      </c>
      <c r="K245" s="24" t="str">
        <f>PROPER(TRIM(Raw_Data!K253))</f>
        <v>Cancelled</v>
      </c>
      <c r="L245" s="24" t="str">
        <f t="shared" si="13"/>
        <v>Sep</v>
      </c>
      <c r="M245" s="24" t="str">
        <f t="shared" si="14"/>
        <v>Tue</v>
      </c>
      <c r="N245" s="24" t="str">
        <f t="shared" si="15"/>
        <v>Cancelled</v>
      </c>
      <c r="O245" s="24" t="str">
        <f>IF(ROUND(G245-Raw_Data!G253,2)=0,"OK","Corrected")</f>
        <v>OK</v>
      </c>
    </row>
    <row r="246" spans="1:15" x14ac:dyDescent="0.3">
      <c r="A246" s="24" t="str">
        <f>TRIM(Raw_Data!A254)</f>
        <v>AMZ-10053</v>
      </c>
      <c r="B246" s="25">
        <f>Raw_Data!B254</f>
        <v>46280</v>
      </c>
      <c r="C246" s="24" t="str">
        <f>PROPER(TRIM(Raw_Data!C254))</f>
        <v>Self Help Book</v>
      </c>
      <c r="D246" s="24" t="str">
        <f>TRIM(Raw_Data!D254)</f>
        <v>Books</v>
      </c>
      <c r="E246" s="26">
        <f>Raw_Data!E254</f>
        <v>399</v>
      </c>
      <c r="F246" s="24">
        <f>Raw_Data!F254</f>
        <v>2</v>
      </c>
      <c r="G246" s="26">
        <f t="shared" si="12"/>
        <v>798</v>
      </c>
      <c r="H246" s="24" t="str">
        <f>PROPER(TRIM(Raw_Data!H254))</f>
        <v>Kavya Rao</v>
      </c>
      <c r="I246" s="24" t="str">
        <f>PROPER(TRIM(Raw_Data!I254))</f>
        <v>Bangalore</v>
      </c>
      <c r="J246" s="24" t="str">
        <f>TRIM(Raw_Data!J254)</f>
        <v>Credit Card</v>
      </c>
      <c r="K246" s="24" t="str">
        <f>PROPER(TRIM(Raw_Data!K254))</f>
        <v>Delivered</v>
      </c>
      <c r="L246" s="24" t="str">
        <f t="shared" si="13"/>
        <v>Sep</v>
      </c>
      <c r="M246" s="24" t="str">
        <f t="shared" si="14"/>
        <v>Tue</v>
      </c>
      <c r="N246" s="24" t="str">
        <f t="shared" si="15"/>
        <v>Delivered</v>
      </c>
      <c r="O246" s="24" t="str">
        <f>IF(ROUND(G246-Raw_Data!G254,2)=0,"OK","Corrected")</f>
        <v>OK</v>
      </c>
    </row>
    <row r="247" spans="1:15" x14ac:dyDescent="0.3">
      <c r="A247" s="24" t="str">
        <f>TRIM(Raw_Data!A255)</f>
        <v>AMZ-10057</v>
      </c>
      <c r="B247" s="25">
        <f>Raw_Data!B255</f>
        <v>46280</v>
      </c>
      <c r="C247" s="24" t="str">
        <f>PROPER(TRIM(Raw_Data!C255))</f>
        <v>Sandals</v>
      </c>
      <c r="D247" s="24" t="str">
        <f>TRIM(Raw_Data!D255)</f>
        <v>Footwear</v>
      </c>
      <c r="E247" s="26">
        <f>Raw_Data!E255</f>
        <v>899</v>
      </c>
      <c r="F247" s="24">
        <f>Raw_Data!F255</f>
        <v>2</v>
      </c>
      <c r="G247" s="26">
        <f t="shared" si="12"/>
        <v>1798</v>
      </c>
      <c r="H247" s="24" t="str">
        <f>PROPER(TRIM(Raw_Data!H255))</f>
        <v>Aditya Rao</v>
      </c>
      <c r="I247" s="24" t="str">
        <f>PROPER(TRIM(Raw_Data!I255))</f>
        <v>Delhi</v>
      </c>
      <c r="J247" s="24" t="str">
        <f>TRIM(Raw_Data!J255)</f>
        <v>Credit Card</v>
      </c>
      <c r="K247" s="24" t="str">
        <f>PROPER(TRIM(Raw_Data!K255))</f>
        <v>Delivered</v>
      </c>
      <c r="L247" s="24" t="str">
        <f t="shared" si="13"/>
        <v>Sep</v>
      </c>
      <c r="M247" s="24" t="str">
        <f t="shared" si="14"/>
        <v>Tue</v>
      </c>
      <c r="N247" s="24" t="str">
        <f t="shared" si="15"/>
        <v>Delivered</v>
      </c>
      <c r="O247" s="24" t="str">
        <f>IF(ROUND(G247-Raw_Data!G255,2)=0,"OK","Corrected")</f>
        <v>OK</v>
      </c>
    </row>
    <row r="248" spans="1:15" x14ac:dyDescent="0.3">
      <c r="A248" s="24" t="str">
        <f>TRIM(Raw_Data!A256)</f>
        <v>AMZ-10060</v>
      </c>
      <c r="B248" s="25">
        <f>Raw_Data!B256</f>
        <v>46280</v>
      </c>
      <c r="C248" s="24" t="str">
        <f>PROPER(TRIM(Raw_Data!C256))</f>
        <v>Bluetooth Speaker</v>
      </c>
      <c r="D248" s="24" t="str">
        <f>TRIM(Raw_Data!D256)</f>
        <v>Electronics</v>
      </c>
      <c r="E248" s="26">
        <f>Raw_Data!E256</f>
        <v>1999</v>
      </c>
      <c r="F248" s="24">
        <f>Raw_Data!F256</f>
        <v>4</v>
      </c>
      <c r="G248" s="26">
        <f t="shared" si="12"/>
        <v>7996</v>
      </c>
      <c r="H248" s="24" t="str">
        <f>PROPER(TRIM(Raw_Data!H256))</f>
        <v>Pooja Iyer</v>
      </c>
      <c r="I248" s="24" t="str">
        <f>PROPER(TRIM(Raw_Data!I256))</f>
        <v>Mumbai</v>
      </c>
      <c r="J248" s="24" t="str">
        <f>TRIM(Raw_Data!J256)</f>
        <v>UPI</v>
      </c>
      <c r="K248" s="24" t="str">
        <f>PROPER(TRIM(Raw_Data!K256))</f>
        <v>Delivered</v>
      </c>
      <c r="L248" s="24" t="str">
        <f t="shared" si="13"/>
        <v>Sep</v>
      </c>
      <c r="M248" s="24" t="str">
        <f t="shared" si="14"/>
        <v>Tue</v>
      </c>
      <c r="N248" s="24" t="str">
        <f t="shared" si="15"/>
        <v>Delivered</v>
      </c>
      <c r="O248" s="24" t="str">
        <f>IF(ROUND(G248-Raw_Data!G256,2)=0,"OK","Corrected")</f>
        <v>OK</v>
      </c>
    </row>
    <row r="249" spans="1:15" x14ac:dyDescent="0.3">
      <c r="A249" s="24" t="str">
        <f>TRIM(Raw_Data!A257)</f>
        <v>AMZ-10061</v>
      </c>
      <c r="B249" s="25">
        <f>Raw_Data!B257</f>
        <v>46280</v>
      </c>
      <c r="C249" s="24" t="str">
        <f>PROPER(TRIM(Raw_Data!C257))</f>
        <v>Cotton T-Shirt</v>
      </c>
      <c r="D249" s="24" t="str">
        <f>TRIM(Raw_Data!D257)</f>
        <v>Clothing</v>
      </c>
      <c r="E249" s="26">
        <f>Raw_Data!E257</f>
        <v>599</v>
      </c>
      <c r="F249" s="24">
        <f>Raw_Data!F257</f>
        <v>1</v>
      </c>
      <c r="G249" s="26">
        <f t="shared" si="12"/>
        <v>599</v>
      </c>
      <c r="H249" s="24" t="str">
        <f>PROPER(TRIM(Raw_Data!H257))</f>
        <v>Tanvi Verma</v>
      </c>
      <c r="I249" s="24" t="str">
        <f>PROPER(TRIM(Raw_Data!I257))</f>
        <v>Kolkata</v>
      </c>
      <c r="J249" s="24" t="str">
        <f>TRIM(Raw_Data!J257)</f>
        <v>Debit Card</v>
      </c>
      <c r="K249" s="24" t="str">
        <f>PROPER(TRIM(Raw_Data!K257))</f>
        <v>Shipped</v>
      </c>
      <c r="L249" s="24" t="str">
        <f t="shared" si="13"/>
        <v>Sep</v>
      </c>
      <c r="M249" s="24" t="str">
        <f t="shared" si="14"/>
        <v>Tue</v>
      </c>
      <c r="N249" s="24" t="str">
        <f t="shared" si="15"/>
        <v>Pending</v>
      </c>
      <c r="O249" s="24" t="str">
        <f>IF(ROUND(G249-Raw_Data!G257,2)=0,"OK","Corrected")</f>
        <v>OK</v>
      </c>
    </row>
    <row r="250" spans="1:15" x14ac:dyDescent="0.3">
      <c r="A250" s="24" t="str">
        <f>TRIM(Raw_Data!A258)</f>
        <v>AMZ-10062</v>
      </c>
      <c r="B250" s="25">
        <f>Raw_Data!B258</f>
        <v>46280</v>
      </c>
      <c r="C250" s="24" t="str">
        <f>PROPER(TRIM(Raw_Data!C258))</f>
        <v>Mixer Grinder</v>
      </c>
      <c r="D250" s="24" t="str">
        <f>TRIM(Raw_Data!D258)</f>
        <v>Home &amp; Kitchen</v>
      </c>
      <c r="E250" s="26">
        <f>Raw_Data!E258</f>
        <v>3499</v>
      </c>
      <c r="F250" s="24">
        <f>Raw_Data!F258</f>
        <v>4</v>
      </c>
      <c r="G250" s="26">
        <f t="shared" si="12"/>
        <v>13996</v>
      </c>
      <c r="H250" s="24" t="str">
        <f>PROPER(TRIM(Raw_Data!H258))</f>
        <v>Vivaan Iyer</v>
      </c>
      <c r="I250" s="24" t="str">
        <f>PROPER(TRIM(Raw_Data!I258))</f>
        <v>Pune</v>
      </c>
      <c r="J250" s="24" t="str">
        <f>TRIM(Raw_Data!J258)</f>
        <v>Debit Card</v>
      </c>
      <c r="K250" s="24" t="str">
        <f>PROPER(TRIM(Raw_Data!K258))</f>
        <v>Delivered</v>
      </c>
      <c r="L250" s="24" t="str">
        <f t="shared" si="13"/>
        <v>Sep</v>
      </c>
      <c r="M250" s="24" t="str">
        <f t="shared" si="14"/>
        <v>Tue</v>
      </c>
      <c r="N250" s="24" t="str">
        <f t="shared" si="15"/>
        <v>Delivered</v>
      </c>
      <c r="O250" s="24" t="str">
        <f>IF(ROUND(G250-Raw_Data!G258,2)=0,"OK","Corrected")</f>
        <v>OK</v>
      </c>
    </row>
    <row r="251" spans="1:15" x14ac:dyDescent="0.3">
      <c r="A251" s="24" t="str">
        <f>TRIM(Raw_Data!A259)</f>
        <v>AMZ-10063</v>
      </c>
      <c r="B251" s="25">
        <f>Raw_Data!B259</f>
        <v>46280</v>
      </c>
      <c r="C251" s="24" t="str">
        <f>PROPER(TRIM(Raw_Data!C259))</f>
        <v>Sandals</v>
      </c>
      <c r="D251" s="24" t="str">
        <f>TRIM(Raw_Data!D259)</f>
        <v>Footwear</v>
      </c>
      <c r="E251" s="26">
        <f>Raw_Data!E259</f>
        <v>899</v>
      </c>
      <c r="F251" s="24">
        <f>Raw_Data!F259</f>
        <v>2</v>
      </c>
      <c r="G251" s="26">
        <f t="shared" si="12"/>
        <v>1798</v>
      </c>
      <c r="H251" s="24" t="str">
        <f>PROPER(TRIM(Raw_Data!H259))</f>
        <v>Priya Das</v>
      </c>
      <c r="I251" s="24" t="str">
        <f>PROPER(TRIM(Raw_Data!I259))</f>
        <v>Hyderabad</v>
      </c>
      <c r="J251" s="24" t="str">
        <f>TRIM(Raw_Data!J259)</f>
        <v>Cash On Delivery</v>
      </c>
      <c r="K251" s="24" t="str">
        <f>PROPER(TRIM(Raw_Data!K259))</f>
        <v>Delivered</v>
      </c>
      <c r="L251" s="24" t="str">
        <f t="shared" si="13"/>
        <v>Sep</v>
      </c>
      <c r="M251" s="24" t="str">
        <f t="shared" si="14"/>
        <v>Tue</v>
      </c>
      <c r="N251" s="24" t="str">
        <f t="shared" si="15"/>
        <v>Delivered</v>
      </c>
      <c r="O251" s="24" t="str">
        <f>IF(ROUND(G251-Raw_Data!G259,2)=0,"OK","Corrected")</f>
        <v>OK</v>
      </c>
    </row>
    <row r="252" spans="1:15" x14ac:dyDescent="0.3">
      <c r="A252" s="24" t="str">
        <f>TRIM(Raw_Data!A260)</f>
        <v>AMZ-10065</v>
      </c>
      <c r="B252" s="25">
        <f>Raw_Data!B260</f>
        <v>46280</v>
      </c>
      <c r="C252" s="24" t="str">
        <f>PROPER(TRIM(Raw_Data!C260))</f>
        <v>Air Fryer</v>
      </c>
      <c r="D252" s="24" t="str">
        <f>TRIM(Raw_Data!D260)</f>
        <v>Home &amp; Kitchen</v>
      </c>
      <c r="E252" s="26">
        <f>Raw_Data!E260</f>
        <v>5999</v>
      </c>
      <c r="F252" s="24">
        <f>Raw_Data!F260</f>
        <v>2</v>
      </c>
      <c r="G252" s="26">
        <f t="shared" si="12"/>
        <v>11998</v>
      </c>
      <c r="H252" s="24" t="str">
        <f>PROPER(TRIM(Raw_Data!H260))</f>
        <v>Karan Joshi</v>
      </c>
      <c r="I252" s="24" t="str">
        <f>PROPER(TRIM(Raw_Data!I260))</f>
        <v>Hyderabad</v>
      </c>
      <c r="J252" s="24" t="str">
        <f>TRIM(Raw_Data!J260)</f>
        <v>UPI</v>
      </c>
      <c r="K252" s="24" t="str">
        <f>PROPER(TRIM(Raw_Data!K260))</f>
        <v>Delivered</v>
      </c>
      <c r="L252" s="24" t="str">
        <f t="shared" si="13"/>
        <v>Sep</v>
      </c>
      <c r="M252" s="24" t="str">
        <f t="shared" si="14"/>
        <v>Tue</v>
      </c>
      <c r="N252" s="24" t="str">
        <f t="shared" si="15"/>
        <v>Delivered</v>
      </c>
      <c r="O252" s="24" t="str">
        <f>IF(ROUND(G252-Raw_Data!G260,2)=0,"OK","Corrected")</f>
        <v>OK</v>
      </c>
    </row>
    <row r="253" spans="1:15" x14ac:dyDescent="0.3">
      <c r="A253" s="24" t="str">
        <f>TRIM(Raw_Data!A261)</f>
        <v>AMZ-10096</v>
      </c>
      <c r="B253" s="25">
        <f>Raw_Data!B261</f>
        <v>46280</v>
      </c>
      <c r="C253" s="24" t="str">
        <f>PROPER(TRIM(Raw_Data!C261))</f>
        <v>Python Programming Book</v>
      </c>
      <c r="D253" s="24" t="str">
        <f>TRIM(Raw_Data!D261)</f>
        <v>Books</v>
      </c>
      <c r="E253" s="26">
        <f>Raw_Data!E261</f>
        <v>699</v>
      </c>
      <c r="F253" s="24">
        <f>Raw_Data!F261</f>
        <v>1</v>
      </c>
      <c r="G253" s="26">
        <f t="shared" si="12"/>
        <v>699</v>
      </c>
      <c r="H253" s="24" t="str">
        <f>PROPER(TRIM(Raw_Data!H261))</f>
        <v>Sneha Reddy</v>
      </c>
      <c r="I253" s="24" t="str">
        <f>PROPER(TRIM(Raw_Data!I261))</f>
        <v>Pune</v>
      </c>
      <c r="J253" s="24" t="str">
        <f>TRIM(Raw_Data!J261)</f>
        <v>UPI</v>
      </c>
      <c r="K253" s="24" t="str">
        <f>PROPER(TRIM(Raw_Data!K261))</f>
        <v>Delivered</v>
      </c>
      <c r="L253" s="24" t="str">
        <f t="shared" si="13"/>
        <v>Sep</v>
      </c>
      <c r="M253" s="24" t="str">
        <f t="shared" si="14"/>
        <v>Tue</v>
      </c>
      <c r="N253" s="24" t="str">
        <f t="shared" si="15"/>
        <v>Delivered</v>
      </c>
      <c r="O253" s="24" t="str">
        <f>IF(ROUND(G253-Raw_Data!G261,2)=0,"OK","Corrected")</f>
        <v>OK</v>
      </c>
    </row>
    <row r="254" spans="1:15" x14ac:dyDescent="0.3">
      <c r="A254" s="24" t="str">
        <f>TRIM(Raw_Data!A262)</f>
        <v>AMZ-10114</v>
      </c>
      <c r="B254" s="25">
        <f>Raw_Data!B262</f>
        <v>46280</v>
      </c>
      <c r="C254" s="24" t="str">
        <f>PROPER(TRIM(Raw_Data!C262))</f>
        <v>Python Programming Book</v>
      </c>
      <c r="D254" s="24" t="str">
        <f>TRIM(Raw_Data!D262)</f>
        <v>Books</v>
      </c>
      <c r="E254" s="26">
        <f>Raw_Data!E262</f>
        <v>699</v>
      </c>
      <c r="F254" s="24">
        <f>Raw_Data!F262</f>
        <v>1</v>
      </c>
      <c r="G254" s="26">
        <f t="shared" si="12"/>
        <v>699</v>
      </c>
      <c r="H254" s="24" t="str">
        <f>PROPER(TRIM(Raw_Data!H262))</f>
        <v>Kavya Gupta</v>
      </c>
      <c r="I254" s="24" t="str">
        <f>PROPER(TRIM(Raw_Data!I262))</f>
        <v>Hyderabad</v>
      </c>
      <c r="J254" s="24" t="str">
        <f>TRIM(Raw_Data!J262)</f>
        <v>UPI</v>
      </c>
      <c r="K254" s="24" t="str">
        <f>PROPER(TRIM(Raw_Data!K262))</f>
        <v>Delivered</v>
      </c>
      <c r="L254" s="24" t="str">
        <f t="shared" si="13"/>
        <v>Sep</v>
      </c>
      <c r="M254" s="24" t="str">
        <f t="shared" si="14"/>
        <v>Tue</v>
      </c>
      <c r="N254" s="24" t="str">
        <f t="shared" si="15"/>
        <v>Delivered</v>
      </c>
      <c r="O254" s="24" t="str">
        <f>IF(ROUND(G254-Raw_Data!G262,2)=0,"OK","Corrected")</f>
        <v>OK</v>
      </c>
    </row>
    <row r="255" spans="1:15" x14ac:dyDescent="0.3">
      <c r="A255" s="24" t="str">
        <f>TRIM(Raw_Data!A263)</f>
        <v>AMZ-10134</v>
      </c>
      <c r="B255" s="25">
        <f>Raw_Data!B263</f>
        <v>46280</v>
      </c>
      <c r="C255" s="24" t="str">
        <f>PROPER(TRIM(Raw_Data!C263))</f>
        <v>Running Shoes</v>
      </c>
      <c r="D255" s="24" t="str">
        <f>TRIM(Raw_Data!D263)</f>
        <v>Footwear</v>
      </c>
      <c r="E255" s="26">
        <f>Raw_Data!E263</f>
        <v>3299</v>
      </c>
      <c r="F255" s="24">
        <f>Raw_Data!F263</f>
        <v>2</v>
      </c>
      <c r="G255" s="26">
        <f t="shared" si="12"/>
        <v>6598</v>
      </c>
      <c r="H255" s="24" t="str">
        <f>PROPER(TRIM(Raw_Data!H263))</f>
        <v>Neha Kulkarni</v>
      </c>
      <c r="I255" s="24" t="str">
        <f>PROPER(TRIM(Raw_Data!I263))</f>
        <v>Delhi</v>
      </c>
      <c r="J255" s="24" t="str">
        <f>TRIM(Raw_Data!J263)</f>
        <v>Net Banking</v>
      </c>
      <c r="K255" s="24" t="str">
        <f>PROPER(TRIM(Raw_Data!K263))</f>
        <v>Cancelled</v>
      </c>
      <c r="L255" s="24" t="str">
        <f t="shared" si="13"/>
        <v>Sep</v>
      </c>
      <c r="M255" s="24" t="str">
        <f t="shared" si="14"/>
        <v>Tue</v>
      </c>
      <c r="N255" s="24" t="str">
        <f t="shared" si="15"/>
        <v>Cancelled</v>
      </c>
      <c r="O255" s="24" t="str">
        <f>IF(ROUND(G255-Raw_Data!G263,2)=0,"OK","Corrected")</f>
        <v>OK</v>
      </c>
    </row>
    <row r="256" spans="1:15" x14ac:dyDescent="0.3">
      <c r="A256" s="24" t="str">
        <f>TRIM(Raw_Data!A264)</f>
        <v>AMZ-10148</v>
      </c>
      <c r="B256" s="25">
        <f>Raw_Data!B264</f>
        <v>46280</v>
      </c>
      <c r="C256" s="24" t="str">
        <f>PROPER(TRIM(Raw_Data!C264))</f>
        <v>Smart Watch</v>
      </c>
      <c r="D256" s="24" t="str">
        <f>TRIM(Raw_Data!D264)</f>
        <v>Electronics</v>
      </c>
      <c r="E256" s="26">
        <f>Raw_Data!E264</f>
        <v>4999</v>
      </c>
      <c r="F256" s="24">
        <f>Raw_Data!F264</f>
        <v>1</v>
      </c>
      <c r="G256" s="26">
        <f t="shared" si="12"/>
        <v>4999</v>
      </c>
      <c r="H256" s="24" t="str">
        <f>PROPER(TRIM(Raw_Data!H264))</f>
        <v>Ishaan Singh</v>
      </c>
      <c r="I256" s="24" t="str">
        <f>PROPER(TRIM(Raw_Data!I264))</f>
        <v>Delhi</v>
      </c>
      <c r="J256" s="24" t="str">
        <f>TRIM(Raw_Data!J264)</f>
        <v>UPI</v>
      </c>
      <c r="K256" s="24" t="str">
        <f>PROPER(TRIM(Raw_Data!K264))</f>
        <v>Delivered</v>
      </c>
      <c r="L256" s="24" t="str">
        <f t="shared" si="13"/>
        <v>Sep</v>
      </c>
      <c r="M256" s="24" t="str">
        <f t="shared" si="14"/>
        <v>Tue</v>
      </c>
      <c r="N256" s="24" t="str">
        <f t="shared" si="15"/>
        <v>Delivered</v>
      </c>
      <c r="O256" s="24" t="str">
        <f>IF(ROUND(G256-Raw_Data!G264,2)=0,"OK","Corrected")</f>
        <v>OK</v>
      </c>
    </row>
    <row r="257" spans="1:15" x14ac:dyDescent="0.3">
      <c r="A257" s="24" t="str">
        <f>TRIM(Raw_Data!A266)</f>
        <v>AMZ-10157</v>
      </c>
      <c r="B257" s="25">
        <f>Raw_Data!B266</f>
        <v>46280</v>
      </c>
      <c r="C257" s="24" t="str">
        <f>PROPER(TRIM(Raw_Data!C266))</f>
        <v>Water Bottle</v>
      </c>
      <c r="D257" s="24" t="str">
        <f>TRIM(Raw_Data!D266)</f>
        <v>Home &amp; Kitchen</v>
      </c>
      <c r="E257" s="26">
        <f>Raw_Data!E266</f>
        <v>499</v>
      </c>
      <c r="F257" s="24">
        <f>Raw_Data!F266</f>
        <v>1</v>
      </c>
      <c r="G257" s="26">
        <f t="shared" si="12"/>
        <v>499</v>
      </c>
      <c r="H257" s="24" t="str">
        <f>PROPER(TRIM(Raw_Data!H266))</f>
        <v>Tanvi Joshi</v>
      </c>
      <c r="I257" s="24" t="str">
        <f>PROPER(TRIM(Raw_Data!I266))</f>
        <v>Bangalore</v>
      </c>
      <c r="J257" s="24" t="str">
        <f>TRIM(Raw_Data!J266)</f>
        <v>UPI</v>
      </c>
      <c r="K257" s="24" t="str">
        <f>PROPER(TRIM(Raw_Data!K266))</f>
        <v>Delivered</v>
      </c>
      <c r="L257" s="24" t="str">
        <f t="shared" si="13"/>
        <v>Sep</v>
      </c>
      <c r="M257" s="24" t="str">
        <f t="shared" si="14"/>
        <v>Tue</v>
      </c>
      <c r="N257" s="24" t="str">
        <f t="shared" si="15"/>
        <v>Delivered</v>
      </c>
      <c r="O257" s="24" t="str">
        <f>IF(ROUND(G257-Raw_Data!G266,2)=0,"OK","Corrected")</f>
        <v>OK</v>
      </c>
    </row>
    <row r="258" spans="1:15" x14ac:dyDescent="0.3">
      <c r="A258" s="24" t="str">
        <f>TRIM(Raw_Data!A267)</f>
        <v>AMZ-10168</v>
      </c>
      <c r="B258" s="25">
        <f>Raw_Data!B267</f>
        <v>46280</v>
      </c>
      <c r="C258" s="24" t="str">
        <f>PROPER(TRIM(Raw_Data!C267))</f>
        <v>Power Bank</v>
      </c>
      <c r="D258" s="24" t="str">
        <f>TRIM(Raw_Data!D267)</f>
        <v>Electronics</v>
      </c>
      <c r="E258" s="26">
        <f>Raw_Data!E267</f>
        <v>1299</v>
      </c>
      <c r="F258" s="24">
        <f>Raw_Data!F267</f>
        <v>1</v>
      </c>
      <c r="G258" s="26">
        <f t="shared" ref="G258:G321" si="16">E258*F258</f>
        <v>1299</v>
      </c>
      <c r="H258" s="24" t="str">
        <f>PROPER(TRIM(Raw_Data!H267))</f>
        <v>Neha Kulkarni</v>
      </c>
      <c r="I258" s="24" t="str">
        <f>PROPER(TRIM(Raw_Data!I267))</f>
        <v>Delhi</v>
      </c>
      <c r="J258" s="24" t="str">
        <f>TRIM(Raw_Data!J267)</f>
        <v>UPI</v>
      </c>
      <c r="K258" s="24" t="str">
        <f>PROPER(TRIM(Raw_Data!K267))</f>
        <v>Shipped</v>
      </c>
      <c r="L258" s="24" t="str">
        <f t="shared" ref="L258:L321" si="17">TEXT(B258,"MMM")</f>
        <v>Sep</v>
      </c>
      <c r="M258" s="24" t="str">
        <f t="shared" ref="M258:M321" si="18">TEXT(B258,"ddd")</f>
        <v>Tue</v>
      </c>
      <c r="N258" s="24" t="str">
        <f t="shared" ref="N258:N321" si="19">IF(K258="Delivered","Delivered",IF(K258="Cancelled","Cancelled","Pending"))</f>
        <v>Pending</v>
      </c>
      <c r="O258" s="24" t="str">
        <f>IF(ROUND(G258-Raw_Data!G267,2)=0,"OK","Corrected")</f>
        <v>OK</v>
      </c>
    </row>
    <row r="259" spans="1:15" x14ac:dyDescent="0.3">
      <c r="A259" s="24" t="str">
        <f>TRIM(Raw_Data!A268)</f>
        <v>AMZ-10173</v>
      </c>
      <c r="B259" s="25">
        <f>Raw_Data!B268</f>
        <v>46280</v>
      </c>
      <c r="C259" s="24" t="str">
        <f>PROPER(TRIM(Raw_Data!C268))</f>
        <v>Denim Jeans</v>
      </c>
      <c r="D259" s="24" t="str">
        <f>TRIM(Raw_Data!D268)</f>
        <v>Clothing</v>
      </c>
      <c r="E259" s="26">
        <f>Raw_Data!E268</f>
        <v>1799</v>
      </c>
      <c r="F259" s="24">
        <f>Raw_Data!F268</f>
        <v>3</v>
      </c>
      <c r="G259" s="26">
        <f t="shared" si="16"/>
        <v>5397</v>
      </c>
      <c r="H259" s="24" t="str">
        <f>PROPER(TRIM(Raw_Data!H268))</f>
        <v>Vikram Iyer</v>
      </c>
      <c r="I259" s="24" t="str">
        <f>PROPER(TRIM(Raw_Data!I268))</f>
        <v>Bangalore</v>
      </c>
      <c r="J259" s="24" t="str">
        <f>TRIM(Raw_Data!J268)</f>
        <v>UPI</v>
      </c>
      <c r="K259" s="24" t="str">
        <f>PROPER(TRIM(Raw_Data!K268))</f>
        <v>Delivered</v>
      </c>
      <c r="L259" s="24" t="str">
        <f t="shared" si="17"/>
        <v>Sep</v>
      </c>
      <c r="M259" s="24" t="str">
        <f t="shared" si="18"/>
        <v>Tue</v>
      </c>
      <c r="N259" s="24" t="str">
        <f t="shared" si="19"/>
        <v>Delivered</v>
      </c>
      <c r="O259" s="24" t="str">
        <f>IF(ROUND(G259-Raw_Data!G268,2)=0,"OK","Corrected")</f>
        <v>OK</v>
      </c>
    </row>
    <row r="260" spans="1:15" x14ac:dyDescent="0.3">
      <c r="A260" s="24" t="str">
        <f>TRIM(Raw_Data!A269)</f>
        <v>AMZ-10187</v>
      </c>
      <c r="B260" s="25">
        <f>Raw_Data!B269</f>
        <v>46280</v>
      </c>
      <c r="C260" s="24" t="str">
        <f>PROPER(TRIM(Raw_Data!C269))</f>
        <v>Air Fryer</v>
      </c>
      <c r="D260" s="24" t="str">
        <f>TRIM(Raw_Data!D269)</f>
        <v>Home &amp; Kitchen</v>
      </c>
      <c r="E260" s="26">
        <f>Raw_Data!E269</f>
        <v>5999</v>
      </c>
      <c r="F260" s="24">
        <f>Raw_Data!F269</f>
        <v>3</v>
      </c>
      <c r="G260" s="26">
        <f t="shared" si="16"/>
        <v>17997</v>
      </c>
      <c r="H260" s="24" t="str">
        <f>PROPER(TRIM(Raw_Data!H269))</f>
        <v>Nikhil Joshi</v>
      </c>
      <c r="I260" s="24" t="str">
        <f>PROPER(TRIM(Raw_Data!I269))</f>
        <v>Lucknow</v>
      </c>
      <c r="J260" s="24" t="str">
        <f>TRIM(Raw_Data!J269)</f>
        <v>Cash On Delivery</v>
      </c>
      <c r="K260" s="24" t="str">
        <f>PROPER(TRIM(Raw_Data!K269))</f>
        <v>Delivered</v>
      </c>
      <c r="L260" s="24" t="str">
        <f t="shared" si="17"/>
        <v>Sep</v>
      </c>
      <c r="M260" s="24" t="str">
        <f t="shared" si="18"/>
        <v>Tue</v>
      </c>
      <c r="N260" s="24" t="str">
        <f t="shared" si="19"/>
        <v>Delivered</v>
      </c>
      <c r="O260" s="24" t="str">
        <f>IF(ROUND(G260-Raw_Data!G269,2)=0,"OK","Corrected")</f>
        <v>OK</v>
      </c>
    </row>
    <row r="261" spans="1:15" x14ac:dyDescent="0.3">
      <c r="A261" s="24" t="str">
        <f>TRIM(Raw_Data!A270)</f>
        <v>AMZ-10208</v>
      </c>
      <c r="B261" s="25">
        <f>Raw_Data!B270</f>
        <v>46280</v>
      </c>
      <c r="C261" s="24" t="str">
        <f>PROPER(TRIM(Raw_Data!C270))</f>
        <v>Cotton T-Shirt</v>
      </c>
      <c r="D261" s="24" t="str">
        <f>TRIM(Raw_Data!D270)</f>
        <v>Clothing</v>
      </c>
      <c r="E261" s="26">
        <f>Raw_Data!E270</f>
        <v>599</v>
      </c>
      <c r="F261" s="24">
        <f>Raw_Data!F270</f>
        <v>1</v>
      </c>
      <c r="G261" s="26">
        <f t="shared" si="16"/>
        <v>599</v>
      </c>
      <c r="H261" s="24" t="str">
        <f>PROPER(TRIM(Raw_Data!H270))</f>
        <v>Aarav Joshi</v>
      </c>
      <c r="I261" s="24" t="str">
        <f>PROPER(TRIM(Raw_Data!I270))</f>
        <v>Pune</v>
      </c>
      <c r="J261" s="24" t="str">
        <f>TRIM(Raw_Data!J270)</f>
        <v>Net Banking</v>
      </c>
      <c r="K261" s="24" t="str">
        <f>PROPER(TRIM(Raw_Data!K270))</f>
        <v>Cancelled</v>
      </c>
      <c r="L261" s="24" t="str">
        <f t="shared" si="17"/>
        <v>Sep</v>
      </c>
      <c r="M261" s="24" t="str">
        <f t="shared" si="18"/>
        <v>Tue</v>
      </c>
      <c r="N261" s="24" t="str">
        <f t="shared" si="19"/>
        <v>Cancelled</v>
      </c>
      <c r="O261" s="24" t="str">
        <f>IF(ROUND(G261-Raw_Data!G270,2)=0,"OK","Corrected")</f>
        <v>OK</v>
      </c>
    </row>
    <row r="262" spans="1:15" x14ac:dyDescent="0.3">
      <c r="A262" s="24" t="str">
        <f>TRIM(Raw_Data!A271)</f>
        <v>AMZ-10221</v>
      </c>
      <c r="B262" s="25">
        <f>Raw_Data!B271</f>
        <v>46280</v>
      </c>
      <c r="C262" s="24" t="str">
        <f>PROPER(TRIM(Raw_Data!C271))</f>
        <v>Wireless Earbuds</v>
      </c>
      <c r="D262" s="24" t="str">
        <f>TRIM(Raw_Data!D271)</f>
        <v>Electronics</v>
      </c>
      <c r="E262" s="26">
        <f>Raw_Data!E271</f>
        <v>2499</v>
      </c>
      <c r="F262" s="24">
        <f>Raw_Data!F271</f>
        <v>1</v>
      </c>
      <c r="G262" s="26">
        <f t="shared" si="16"/>
        <v>2499</v>
      </c>
      <c r="H262" s="24" t="str">
        <f>PROPER(TRIM(Raw_Data!H271))</f>
        <v>Neha Kulkarni</v>
      </c>
      <c r="I262" s="24" t="str">
        <f>PROPER(TRIM(Raw_Data!I271))</f>
        <v>Delhi</v>
      </c>
      <c r="J262" s="24" t="str">
        <f>TRIM(Raw_Data!J271)</f>
        <v>Credit Card</v>
      </c>
      <c r="K262" s="24" t="str">
        <f>PROPER(TRIM(Raw_Data!K271))</f>
        <v>Shipped</v>
      </c>
      <c r="L262" s="24" t="str">
        <f t="shared" si="17"/>
        <v>Sep</v>
      </c>
      <c r="M262" s="24" t="str">
        <f t="shared" si="18"/>
        <v>Tue</v>
      </c>
      <c r="N262" s="24" t="str">
        <f t="shared" si="19"/>
        <v>Pending</v>
      </c>
      <c r="O262" s="24" t="str">
        <f>IF(ROUND(G262-Raw_Data!G271,2)=0,"OK","Corrected")</f>
        <v>OK</v>
      </c>
    </row>
    <row r="263" spans="1:15" x14ac:dyDescent="0.3">
      <c r="A263" s="24" t="str">
        <f>TRIM(Raw_Data!A272)</f>
        <v>AMZ-10223</v>
      </c>
      <c r="B263" s="25">
        <f>Raw_Data!B272</f>
        <v>46280</v>
      </c>
      <c r="C263" s="24" t="str">
        <f>PROPER(TRIM(Raw_Data!C272))</f>
        <v>Mixer Grinder</v>
      </c>
      <c r="D263" s="24" t="str">
        <f>TRIM(Raw_Data!D272)</f>
        <v>Home &amp; Kitchen</v>
      </c>
      <c r="E263" s="26">
        <f>Raw_Data!E272</f>
        <v>3499</v>
      </c>
      <c r="F263" s="24">
        <f>Raw_Data!F272</f>
        <v>1</v>
      </c>
      <c r="G263" s="26">
        <f t="shared" si="16"/>
        <v>3499</v>
      </c>
      <c r="H263" s="24" t="str">
        <f>PROPER(TRIM(Raw_Data!H272))</f>
        <v>Aditya Kulkarni</v>
      </c>
      <c r="I263" s="24" t="str">
        <f>PROPER(TRIM(Raw_Data!I272))</f>
        <v>Bangalore</v>
      </c>
      <c r="J263" s="24" t="str">
        <f>TRIM(Raw_Data!J272)</f>
        <v>UPI</v>
      </c>
      <c r="K263" s="24" t="str">
        <f>PROPER(TRIM(Raw_Data!K272))</f>
        <v>Pending</v>
      </c>
      <c r="L263" s="24" t="str">
        <f t="shared" si="17"/>
        <v>Sep</v>
      </c>
      <c r="M263" s="24" t="str">
        <f t="shared" si="18"/>
        <v>Tue</v>
      </c>
      <c r="N263" s="24" t="str">
        <f t="shared" si="19"/>
        <v>Pending</v>
      </c>
      <c r="O263" s="24" t="str">
        <f>IF(ROUND(G263-Raw_Data!G272,2)=0,"OK","Corrected")</f>
        <v>OK</v>
      </c>
    </row>
    <row r="264" spans="1:15" x14ac:dyDescent="0.3">
      <c r="A264" s="24" t="str">
        <f>TRIM(Raw_Data!A273)</f>
        <v>AMZ-10240</v>
      </c>
      <c r="B264" s="25">
        <f>Raw_Data!B273</f>
        <v>46280</v>
      </c>
      <c r="C264" s="24" t="str">
        <f>PROPER(TRIM(Raw_Data!C273))</f>
        <v>Running Shoes</v>
      </c>
      <c r="D264" s="24" t="str">
        <f>TRIM(Raw_Data!D273)</f>
        <v>Footwear</v>
      </c>
      <c r="E264" s="26">
        <f>Raw_Data!E273</f>
        <v>3299</v>
      </c>
      <c r="F264" s="24">
        <f>Raw_Data!F273</f>
        <v>3</v>
      </c>
      <c r="G264" s="26">
        <f t="shared" si="16"/>
        <v>9897</v>
      </c>
      <c r="H264" s="24" t="str">
        <f>PROPER(TRIM(Raw_Data!H273))</f>
        <v>Nikhil Kulkarni</v>
      </c>
      <c r="I264" s="24" t="str">
        <f>PROPER(TRIM(Raw_Data!I273))</f>
        <v>Pune</v>
      </c>
      <c r="J264" s="24" t="str">
        <f>TRIM(Raw_Data!J273)</f>
        <v>Debit Card</v>
      </c>
      <c r="K264" s="24" t="str">
        <f>PROPER(TRIM(Raw_Data!K273))</f>
        <v>Cancelled</v>
      </c>
      <c r="L264" s="24" t="str">
        <f t="shared" si="17"/>
        <v>Sep</v>
      </c>
      <c r="M264" s="24" t="str">
        <f t="shared" si="18"/>
        <v>Tue</v>
      </c>
      <c r="N264" s="24" t="str">
        <f t="shared" si="19"/>
        <v>Cancelled</v>
      </c>
      <c r="O264" s="24" t="str">
        <f>IF(ROUND(G264-Raw_Data!G273,2)=0,"OK","Corrected")</f>
        <v>OK</v>
      </c>
    </row>
    <row r="265" spans="1:15" x14ac:dyDescent="0.3">
      <c r="A265" s="24" t="str">
        <f>TRIM(Raw_Data!A274)</f>
        <v>AMZ-10267</v>
      </c>
      <c r="B265" s="25">
        <f>Raw_Data!B274</f>
        <v>46280</v>
      </c>
      <c r="C265" s="24" t="str">
        <f>PROPER(TRIM(Raw_Data!C274))</f>
        <v>Wireless Earbuds</v>
      </c>
      <c r="D265" s="24" t="str">
        <f>TRIM(Raw_Data!D274)</f>
        <v>Electronics</v>
      </c>
      <c r="E265" s="26">
        <f>Raw_Data!E274</f>
        <v>2499</v>
      </c>
      <c r="F265" s="24">
        <f>Raw_Data!F274</f>
        <v>2</v>
      </c>
      <c r="G265" s="26">
        <f t="shared" si="16"/>
        <v>4998</v>
      </c>
      <c r="H265" s="24" t="str">
        <f>PROPER(TRIM(Raw_Data!H274))</f>
        <v>Kavya Patel</v>
      </c>
      <c r="I265" s="24" t="str">
        <f>PROPER(TRIM(Raw_Data!I274))</f>
        <v>Hyderabad</v>
      </c>
      <c r="J265" s="24" t="str">
        <f>TRIM(Raw_Data!J274)</f>
        <v>Debit Card</v>
      </c>
      <c r="K265" s="24" t="str">
        <f>PROPER(TRIM(Raw_Data!K274))</f>
        <v>Delivered</v>
      </c>
      <c r="L265" s="24" t="str">
        <f t="shared" si="17"/>
        <v>Sep</v>
      </c>
      <c r="M265" s="24" t="str">
        <f t="shared" si="18"/>
        <v>Tue</v>
      </c>
      <c r="N265" s="24" t="str">
        <f t="shared" si="19"/>
        <v>Delivered</v>
      </c>
      <c r="O265" s="24" t="str">
        <f>IF(ROUND(G265-Raw_Data!G274,2)=0,"OK","Corrected")</f>
        <v>OK</v>
      </c>
    </row>
    <row r="266" spans="1:15" x14ac:dyDescent="0.3">
      <c r="A266" s="24" t="str">
        <f>TRIM(Raw_Data!A275)</f>
        <v>AMZ-10339</v>
      </c>
      <c r="B266" s="25">
        <f>Raw_Data!B275</f>
        <v>46280</v>
      </c>
      <c r="C266" s="24" t="str">
        <f>PROPER(TRIM(Raw_Data!C275))</f>
        <v>Self Help Book</v>
      </c>
      <c r="D266" s="24" t="str">
        <f>TRIM(Raw_Data!D275)</f>
        <v>Books</v>
      </c>
      <c r="E266" s="26">
        <f>Raw_Data!E275</f>
        <v>399</v>
      </c>
      <c r="F266" s="24">
        <f>Raw_Data!F275</f>
        <v>1</v>
      </c>
      <c r="G266" s="26">
        <f t="shared" si="16"/>
        <v>399</v>
      </c>
      <c r="H266" s="24" t="str">
        <f>PROPER(TRIM(Raw_Data!H275))</f>
        <v>Suresh Das</v>
      </c>
      <c r="I266" s="24" t="str">
        <f>PROPER(TRIM(Raw_Data!I275))</f>
        <v>Bangalore</v>
      </c>
      <c r="J266" s="24" t="str">
        <f>TRIM(Raw_Data!J275)</f>
        <v>Debit Card</v>
      </c>
      <c r="K266" s="24" t="str">
        <f>PROPER(TRIM(Raw_Data!K275))</f>
        <v>Delivered</v>
      </c>
      <c r="L266" s="24" t="str">
        <f t="shared" si="17"/>
        <v>Sep</v>
      </c>
      <c r="M266" s="24" t="str">
        <f t="shared" si="18"/>
        <v>Tue</v>
      </c>
      <c r="N266" s="24" t="str">
        <f t="shared" si="19"/>
        <v>Delivered</v>
      </c>
      <c r="O266" s="24" t="str">
        <f>IF(ROUND(G266-Raw_Data!G275,2)=0,"OK","Corrected")</f>
        <v>Corrected</v>
      </c>
    </row>
    <row r="267" spans="1:15" x14ac:dyDescent="0.3">
      <c r="A267" s="24" t="str">
        <f>TRIM(Raw_Data!A276)</f>
        <v>AMZ-10387</v>
      </c>
      <c r="B267" s="25">
        <f>Raw_Data!B276</f>
        <v>46280</v>
      </c>
      <c r="C267" s="24" t="str">
        <f>PROPER(TRIM(Raw_Data!C276))</f>
        <v>Denim Jeans</v>
      </c>
      <c r="D267" s="24" t="str">
        <f>TRIM(Raw_Data!D276)</f>
        <v>Clothing</v>
      </c>
      <c r="E267" s="26">
        <f>Raw_Data!E276</f>
        <v>1799</v>
      </c>
      <c r="F267" s="24">
        <f>Raw_Data!F276</f>
        <v>2</v>
      </c>
      <c r="G267" s="26">
        <f t="shared" si="16"/>
        <v>3598</v>
      </c>
      <c r="H267" s="24" t="str">
        <f>PROPER(TRIM(Raw_Data!H276))</f>
        <v>Nikhil Reddy</v>
      </c>
      <c r="I267" s="24" t="str">
        <f>PROPER(TRIM(Raw_Data!I276))</f>
        <v>Chennai</v>
      </c>
      <c r="J267" s="24" t="str">
        <f>TRIM(Raw_Data!J276)</f>
        <v>UPI</v>
      </c>
      <c r="K267" s="24" t="str">
        <f>PROPER(TRIM(Raw_Data!K276))</f>
        <v>Cancelled</v>
      </c>
      <c r="L267" s="24" t="str">
        <f t="shared" si="17"/>
        <v>Sep</v>
      </c>
      <c r="M267" s="24" t="str">
        <f t="shared" si="18"/>
        <v>Tue</v>
      </c>
      <c r="N267" s="24" t="str">
        <f t="shared" si="19"/>
        <v>Cancelled</v>
      </c>
      <c r="O267" s="24" t="str">
        <f>IF(ROUND(G267-Raw_Data!G276,2)=0,"OK","Corrected")</f>
        <v>OK</v>
      </c>
    </row>
    <row r="268" spans="1:15" x14ac:dyDescent="0.3">
      <c r="A268" s="24" t="str">
        <f>TRIM(Raw_Data!A277)</f>
        <v>AMZ-10391</v>
      </c>
      <c r="B268" s="25">
        <f>Raw_Data!B277</f>
        <v>46280</v>
      </c>
      <c r="C268" s="24" t="str">
        <f>PROPER(TRIM(Raw_Data!C277))</f>
        <v>Python Programming Book</v>
      </c>
      <c r="D268" s="24" t="str">
        <f>TRIM(Raw_Data!D277)</f>
        <v>Books</v>
      </c>
      <c r="E268" s="26">
        <f>Raw_Data!E277</f>
        <v>699</v>
      </c>
      <c r="F268" s="24">
        <f>Raw_Data!F277</f>
        <v>1</v>
      </c>
      <c r="G268" s="26">
        <f t="shared" si="16"/>
        <v>699</v>
      </c>
      <c r="H268" s="24" t="str">
        <f>PROPER(TRIM(Raw_Data!H277))</f>
        <v>Pooja Gupta</v>
      </c>
      <c r="I268" s="24" t="str">
        <f>PROPER(TRIM(Raw_Data!I277))</f>
        <v>Bangalore</v>
      </c>
      <c r="J268" s="24" t="str">
        <f>TRIM(Raw_Data!J277)</f>
        <v>UPI</v>
      </c>
      <c r="K268" s="24" t="str">
        <f>PROPER(TRIM(Raw_Data!K277))</f>
        <v>Delivered</v>
      </c>
      <c r="L268" s="24" t="str">
        <f t="shared" si="17"/>
        <v>Sep</v>
      </c>
      <c r="M268" s="24" t="str">
        <f t="shared" si="18"/>
        <v>Tue</v>
      </c>
      <c r="N268" s="24" t="str">
        <f t="shared" si="19"/>
        <v>Delivered</v>
      </c>
      <c r="O268" s="24" t="str">
        <f>IF(ROUND(G268-Raw_Data!G277,2)=0,"OK","Corrected")</f>
        <v>OK</v>
      </c>
    </row>
    <row r="269" spans="1:15" x14ac:dyDescent="0.3">
      <c r="A269" s="24" t="str">
        <f>TRIM(Raw_Data!A278)</f>
        <v>AMZ-10426</v>
      </c>
      <c r="B269" s="25">
        <f>Raw_Data!B278</f>
        <v>46280</v>
      </c>
      <c r="C269" s="24" t="str">
        <f>PROPER(TRIM(Raw_Data!C278))</f>
        <v>Self Help Book</v>
      </c>
      <c r="D269" s="24" t="str">
        <f>TRIM(Raw_Data!D278)</f>
        <v>Books</v>
      </c>
      <c r="E269" s="26">
        <f>Raw_Data!E278</f>
        <v>399</v>
      </c>
      <c r="F269" s="24">
        <f>Raw_Data!F278</f>
        <v>1</v>
      </c>
      <c r="G269" s="26">
        <f t="shared" si="16"/>
        <v>399</v>
      </c>
      <c r="H269" s="24" t="str">
        <f>PROPER(TRIM(Raw_Data!H278))</f>
        <v>Suresh Das</v>
      </c>
      <c r="I269" s="24" t="str">
        <f>PROPER(TRIM(Raw_Data!I278))</f>
        <v>Bangalore</v>
      </c>
      <c r="J269" s="24" t="str">
        <f>TRIM(Raw_Data!J278)</f>
        <v>Net Banking</v>
      </c>
      <c r="K269" s="24" t="str">
        <f>PROPER(TRIM(Raw_Data!K278))</f>
        <v>Delivered</v>
      </c>
      <c r="L269" s="24" t="str">
        <f t="shared" si="17"/>
        <v>Sep</v>
      </c>
      <c r="M269" s="24" t="str">
        <f t="shared" si="18"/>
        <v>Tue</v>
      </c>
      <c r="N269" s="24" t="str">
        <f t="shared" si="19"/>
        <v>Delivered</v>
      </c>
      <c r="O269" s="24" t="str">
        <f>IF(ROUND(G269-Raw_Data!G278,2)=0,"OK","Corrected")</f>
        <v>Corrected</v>
      </c>
    </row>
    <row r="270" spans="1:15" x14ac:dyDescent="0.3">
      <c r="A270" s="24" t="str">
        <f>TRIM(Raw_Data!A279)</f>
        <v>AMZ-10447</v>
      </c>
      <c r="B270" s="25">
        <f>Raw_Data!B279</f>
        <v>46280</v>
      </c>
      <c r="C270" s="24" t="str">
        <f>PROPER(TRIM(Raw_Data!C279))</f>
        <v>Mixer Grinder</v>
      </c>
      <c r="D270" s="24" t="str">
        <f>TRIM(Raw_Data!D279)</f>
        <v>Home &amp; Kitchen</v>
      </c>
      <c r="E270" s="26">
        <f>Raw_Data!E279</f>
        <v>3499</v>
      </c>
      <c r="F270" s="24">
        <f>Raw_Data!F279</f>
        <v>1</v>
      </c>
      <c r="G270" s="26">
        <f t="shared" si="16"/>
        <v>3499</v>
      </c>
      <c r="H270" s="24" t="str">
        <f>PROPER(TRIM(Raw_Data!H279))</f>
        <v>Vikram Nair</v>
      </c>
      <c r="I270" s="24" t="str">
        <f>PROPER(TRIM(Raw_Data!I279))</f>
        <v>Mumbai</v>
      </c>
      <c r="J270" s="24" t="str">
        <f>TRIM(Raw_Data!J279)</f>
        <v>Debit Card</v>
      </c>
      <c r="K270" s="24" t="str">
        <f>PROPER(TRIM(Raw_Data!K279))</f>
        <v>Cancelled</v>
      </c>
      <c r="L270" s="24" t="str">
        <f t="shared" si="17"/>
        <v>Sep</v>
      </c>
      <c r="M270" s="24" t="str">
        <f t="shared" si="18"/>
        <v>Tue</v>
      </c>
      <c r="N270" s="24" t="str">
        <f t="shared" si="19"/>
        <v>Cancelled</v>
      </c>
      <c r="O270" s="24" t="str">
        <f>IF(ROUND(G270-Raw_Data!G279,2)=0,"OK","Corrected")</f>
        <v>OK</v>
      </c>
    </row>
    <row r="271" spans="1:15" x14ac:dyDescent="0.3">
      <c r="A271" s="24" t="str">
        <f>TRIM(Raw_Data!A280)</f>
        <v>AMZ-10454</v>
      </c>
      <c r="B271" s="25">
        <f>Raw_Data!B280</f>
        <v>46280</v>
      </c>
      <c r="C271" s="24" t="str">
        <f>PROPER(TRIM(Raw_Data!C280))</f>
        <v>Water Bottle</v>
      </c>
      <c r="D271" s="24" t="str">
        <f>TRIM(Raw_Data!D280)</f>
        <v>Home &amp; Kitchen</v>
      </c>
      <c r="E271" s="26">
        <f>Raw_Data!E280</f>
        <v>499</v>
      </c>
      <c r="F271" s="24">
        <f>Raw_Data!F280</f>
        <v>1</v>
      </c>
      <c r="G271" s="26">
        <f t="shared" si="16"/>
        <v>499</v>
      </c>
      <c r="H271" s="24" t="str">
        <f>PROPER(TRIM(Raw_Data!H280))</f>
        <v>Vikram Joshi</v>
      </c>
      <c r="I271" s="24" t="str">
        <f>PROPER(TRIM(Raw_Data!I280))</f>
        <v>Hyderabad</v>
      </c>
      <c r="J271" s="24" t="str">
        <f>TRIM(Raw_Data!J280)</f>
        <v>Credit Card</v>
      </c>
      <c r="K271" s="24" t="str">
        <f>PROPER(TRIM(Raw_Data!K280))</f>
        <v>Delivered</v>
      </c>
      <c r="L271" s="24" t="str">
        <f t="shared" si="17"/>
        <v>Sep</v>
      </c>
      <c r="M271" s="24" t="str">
        <f t="shared" si="18"/>
        <v>Tue</v>
      </c>
      <c r="N271" s="24" t="str">
        <f t="shared" si="19"/>
        <v>Delivered</v>
      </c>
      <c r="O271" s="24" t="str">
        <f>IF(ROUND(G271-Raw_Data!G280,2)=0,"OK","Corrected")</f>
        <v>OK</v>
      </c>
    </row>
    <row r="272" spans="1:15" x14ac:dyDescent="0.3">
      <c r="A272" s="24" t="str">
        <f>TRIM(Raw_Data!A281)</f>
        <v>AMZ-10458</v>
      </c>
      <c r="B272" s="25">
        <f>Raw_Data!B281</f>
        <v>46280</v>
      </c>
      <c r="C272" s="24" t="str">
        <f>PROPER(TRIM(Raw_Data!C281))</f>
        <v>Self Help Book</v>
      </c>
      <c r="D272" s="24" t="str">
        <f>TRIM(Raw_Data!D281)</f>
        <v>Books</v>
      </c>
      <c r="E272" s="26">
        <f>Raw_Data!E281</f>
        <v>399</v>
      </c>
      <c r="F272" s="24">
        <f>Raw_Data!F281</f>
        <v>1</v>
      </c>
      <c r="G272" s="26">
        <f t="shared" si="16"/>
        <v>399</v>
      </c>
      <c r="H272" s="24" t="str">
        <f>PROPER(TRIM(Raw_Data!H281))</f>
        <v>Suresh Das</v>
      </c>
      <c r="I272" s="24" t="str">
        <f>PROPER(TRIM(Raw_Data!I281))</f>
        <v>Bangalore</v>
      </c>
      <c r="J272" s="24" t="str">
        <f>TRIM(Raw_Data!J281)</f>
        <v>Credit Card</v>
      </c>
      <c r="K272" s="24" t="str">
        <f>PROPER(TRIM(Raw_Data!K281))</f>
        <v>Shipped</v>
      </c>
      <c r="L272" s="24" t="str">
        <f t="shared" si="17"/>
        <v>Sep</v>
      </c>
      <c r="M272" s="24" t="str">
        <f t="shared" si="18"/>
        <v>Tue</v>
      </c>
      <c r="N272" s="24" t="str">
        <f t="shared" si="19"/>
        <v>Pending</v>
      </c>
      <c r="O272" s="24" t="str">
        <f>IF(ROUND(G272-Raw_Data!G281,2)=0,"OK","Corrected")</f>
        <v>OK</v>
      </c>
    </row>
    <row r="273" spans="1:15" x14ac:dyDescent="0.3">
      <c r="A273" s="24" t="str">
        <f>TRIM(Raw_Data!A282)</f>
        <v>AMZ-10015</v>
      </c>
      <c r="B273" s="25">
        <f>Raw_Data!B282</f>
        <v>46281</v>
      </c>
      <c r="C273" s="24" t="str">
        <f>PROPER(TRIM(Raw_Data!C282))</f>
        <v>Python Programming Book</v>
      </c>
      <c r="D273" s="24" t="str">
        <f>TRIM(Raw_Data!D282)</f>
        <v>Books</v>
      </c>
      <c r="E273" s="26">
        <f>Raw_Data!E282</f>
        <v>699</v>
      </c>
      <c r="F273" s="24">
        <f>Raw_Data!F282</f>
        <v>1</v>
      </c>
      <c r="G273" s="26">
        <f t="shared" si="16"/>
        <v>699</v>
      </c>
      <c r="H273" s="24" t="str">
        <f>PROPER(TRIM(Raw_Data!H282))</f>
        <v>Neha Patel</v>
      </c>
      <c r="I273" s="24" t="str">
        <f>PROPER(TRIM(Raw_Data!I282))</f>
        <v>Bangalore</v>
      </c>
      <c r="J273" s="24" t="str">
        <f>TRIM(Raw_Data!J282)</f>
        <v>Credit Card</v>
      </c>
      <c r="K273" s="24" t="str">
        <f>PROPER(TRIM(Raw_Data!K282))</f>
        <v>Cancelled</v>
      </c>
      <c r="L273" s="24" t="str">
        <f t="shared" si="17"/>
        <v>Sep</v>
      </c>
      <c r="M273" s="24" t="str">
        <f t="shared" si="18"/>
        <v>Wed</v>
      </c>
      <c r="N273" s="24" t="str">
        <f t="shared" si="19"/>
        <v>Cancelled</v>
      </c>
      <c r="O273" s="24" t="str">
        <f>IF(ROUND(G273-Raw_Data!G282,2)=0,"OK","Corrected")</f>
        <v>OK</v>
      </c>
    </row>
    <row r="274" spans="1:15" x14ac:dyDescent="0.3">
      <c r="A274" s="24" t="str">
        <f>TRIM(Raw_Data!A283)</f>
        <v>AMZ-10102</v>
      </c>
      <c r="B274" s="25">
        <f>Raw_Data!B283</f>
        <v>46281</v>
      </c>
      <c r="C274" s="24" t="str">
        <f>PROPER(TRIM(Raw_Data!C283))</f>
        <v>Cotton T-Shirt</v>
      </c>
      <c r="D274" s="24" t="str">
        <f>TRIM(Raw_Data!D283)</f>
        <v>Clothing</v>
      </c>
      <c r="E274" s="26">
        <f>Raw_Data!E283</f>
        <v>599</v>
      </c>
      <c r="F274" s="24">
        <f>Raw_Data!F283</f>
        <v>1</v>
      </c>
      <c r="G274" s="26">
        <f t="shared" si="16"/>
        <v>599</v>
      </c>
      <c r="H274" s="24" t="str">
        <f>PROPER(TRIM(Raw_Data!H283))</f>
        <v>Nikhil Rao</v>
      </c>
      <c r="I274" s="24" t="str">
        <f>PROPER(TRIM(Raw_Data!I283))</f>
        <v>Chennai</v>
      </c>
      <c r="J274" s="24" t="str">
        <f>TRIM(Raw_Data!J283)</f>
        <v>Credit Card</v>
      </c>
      <c r="K274" s="24" t="str">
        <f>PROPER(TRIM(Raw_Data!K283))</f>
        <v>Delivered</v>
      </c>
      <c r="L274" s="24" t="str">
        <f t="shared" si="17"/>
        <v>Sep</v>
      </c>
      <c r="M274" s="24" t="str">
        <f t="shared" si="18"/>
        <v>Wed</v>
      </c>
      <c r="N274" s="24" t="str">
        <f t="shared" si="19"/>
        <v>Delivered</v>
      </c>
      <c r="O274" s="24" t="str">
        <f>IF(ROUND(G274-Raw_Data!G283,2)=0,"OK","Corrected")</f>
        <v>OK</v>
      </c>
    </row>
    <row r="275" spans="1:15" x14ac:dyDescent="0.3">
      <c r="A275" s="24" t="str">
        <f>TRIM(Raw_Data!A284)</f>
        <v>AMZ-10137</v>
      </c>
      <c r="B275" s="25">
        <f>Raw_Data!B284</f>
        <v>46281</v>
      </c>
      <c r="C275" s="24" t="str">
        <f>PROPER(TRIM(Raw_Data!C284))</f>
        <v>Self Help Book</v>
      </c>
      <c r="D275" s="24" t="str">
        <f>TRIM(Raw_Data!D284)</f>
        <v>Books</v>
      </c>
      <c r="E275" s="26">
        <f>Raw_Data!E284</f>
        <v>399</v>
      </c>
      <c r="F275" s="24">
        <f>Raw_Data!F284</f>
        <v>2</v>
      </c>
      <c r="G275" s="26">
        <f t="shared" si="16"/>
        <v>798</v>
      </c>
      <c r="H275" s="24" t="str">
        <f>PROPER(TRIM(Raw_Data!H284))</f>
        <v>Arjun Chopra</v>
      </c>
      <c r="I275" s="24" t="str">
        <f>PROPER(TRIM(Raw_Data!I284))</f>
        <v>Bangalore</v>
      </c>
      <c r="J275" s="24" t="str">
        <f>TRIM(Raw_Data!J284)</f>
        <v>Net Banking</v>
      </c>
      <c r="K275" s="24" t="str">
        <f>PROPER(TRIM(Raw_Data!K284))</f>
        <v>Delivered</v>
      </c>
      <c r="L275" s="24" t="str">
        <f t="shared" si="17"/>
        <v>Sep</v>
      </c>
      <c r="M275" s="24" t="str">
        <f t="shared" si="18"/>
        <v>Wed</v>
      </c>
      <c r="N275" s="24" t="str">
        <f t="shared" si="19"/>
        <v>Delivered</v>
      </c>
      <c r="O275" s="24" t="str">
        <f>IF(ROUND(G275-Raw_Data!G284,2)=0,"OK","Corrected")</f>
        <v>OK</v>
      </c>
    </row>
    <row r="276" spans="1:15" x14ac:dyDescent="0.3">
      <c r="A276" s="24" t="str">
        <f>TRIM(Raw_Data!A285)</f>
        <v>AMZ-10151</v>
      </c>
      <c r="B276" s="25">
        <f>Raw_Data!B285</f>
        <v>46281</v>
      </c>
      <c r="C276" s="24" t="str">
        <f>PROPER(TRIM(Raw_Data!C285))</f>
        <v>Power Bank</v>
      </c>
      <c r="D276" s="24" t="str">
        <f>TRIM(Raw_Data!D285)</f>
        <v>Electronics</v>
      </c>
      <c r="E276" s="26">
        <f>Raw_Data!E285</f>
        <v>1299</v>
      </c>
      <c r="F276" s="24">
        <f>Raw_Data!F285</f>
        <v>4</v>
      </c>
      <c r="G276" s="26">
        <f t="shared" si="16"/>
        <v>5196</v>
      </c>
      <c r="H276" s="24" t="str">
        <f>PROPER(TRIM(Raw_Data!H285))</f>
        <v>Vikram Nair</v>
      </c>
      <c r="I276" s="24" t="str">
        <f>PROPER(TRIM(Raw_Data!I285))</f>
        <v>Mumbai</v>
      </c>
      <c r="J276" s="24" t="str">
        <f>TRIM(Raw_Data!J285)</f>
        <v>UPI</v>
      </c>
      <c r="K276" s="24" t="str">
        <f>PROPER(TRIM(Raw_Data!K285))</f>
        <v>Delivered</v>
      </c>
      <c r="L276" s="24" t="str">
        <f t="shared" si="17"/>
        <v>Sep</v>
      </c>
      <c r="M276" s="24" t="str">
        <f t="shared" si="18"/>
        <v>Wed</v>
      </c>
      <c r="N276" s="24" t="str">
        <f t="shared" si="19"/>
        <v>Delivered</v>
      </c>
      <c r="O276" s="24" t="str">
        <f>IF(ROUND(G276-Raw_Data!G285,2)=0,"OK","Corrected")</f>
        <v>OK</v>
      </c>
    </row>
    <row r="277" spans="1:15" x14ac:dyDescent="0.3">
      <c r="A277" s="24" t="str">
        <f>TRIM(Raw_Data!A286)</f>
        <v>AMZ-10202</v>
      </c>
      <c r="B277" s="25">
        <f>Raw_Data!B286</f>
        <v>46281</v>
      </c>
      <c r="C277" s="24" t="str">
        <f>PROPER(TRIM(Raw_Data!C286))</f>
        <v>Wireless Earbuds</v>
      </c>
      <c r="D277" s="24" t="str">
        <f>TRIM(Raw_Data!D286)</f>
        <v>Electronics</v>
      </c>
      <c r="E277" s="26">
        <f>Raw_Data!E286</f>
        <v>2499</v>
      </c>
      <c r="F277" s="24">
        <f>Raw_Data!F286</f>
        <v>1</v>
      </c>
      <c r="G277" s="26">
        <f t="shared" si="16"/>
        <v>2499</v>
      </c>
      <c r="H277" s="24" t="str">
        <f>PROPER(TRIM(Raw_Data!H286))</f>
        <v>Nikhil Joshi</v>
      </c>
      <c r="I277" s="24" t="str">
        <f>PROPER(TRIM(Raw_Data!I286))</f>
        <v>Lucknow</v>
      </c>
      <c r="J277" s="24" t="str">
        <f>TRIM(Raw_Data!J286)</f>
        <v>Debit Card</v>
      </c>
      <c r="K277" s="24" t="str">
        <f>PROPER(TRIM(Raw_Data!K286))</f>
        <v>Delivered</v>
      </c>
      <c r="L277" s="24" t="str">
        <f t="shared" si="17"/>
        <v>Sep</v>
      </c>
      <c r="M277" s="24" t="str">
        <f t="shared" si="18"/>
        <v>Wed</v>
      </c>
      <c r="N277" s="24" t="str">
        <f t="shared" si="19"/>
        <v>Delivered</v>
      </c>
      <c r="O277" s="24" t="str">
        <f>IF(ROUND(G277-Raw_Data!G286,2)=0,"OK","Corrected")</f>
        <v>OK</v>
      </c>
    </row>
    <row r="278" spans="1:15" x14ac:dyDescent="0.3">
      <c r="A278" s="24" t="str">
        <f>TRIM(Raw_Data!A287)</f>
        <v>AMZ-10259</v>
      </c>
      <c r="B278" s="25">
        <f>Raw_Data!B287</f>
        <v>46281</v>
      </c>
      <c r="C278" s="24" t="str">
        <f>PROPER(TRIM(Raw_Data!C287))</f>
        <v>Self Help Book</v>
      </c>
      <c r="D278" s="24" t="str">
        <f>TRIM(Raw_Data!D287)</f>
        <v>Books</v>
      </c>
      <c r="E278" s="26">
        <f>Raw_Data!E287</f>
        <v>399</v>
      </c>
      <c r="F278" s="24">
        <f>Raw_Data!F287</f>
        <v>1</v>
      </c>
      <c r="G278" s="26">
        <f t="shared" si="16"/>
        <v>399</v>
      </c>
      <c r="H278" s="24" t="str">
        <f>PROPER(TRIM(Raw_Data!H287))</f>
        <v>Sneha Reddy</v>
      </c>
      <c r="I278" s="24" t="str">
        <f>PROPER(TRIM(Raw_Data!I287))</f>
        <v>Pune</v>
      </c>
      <c r="J278" s="24" t="str">
        <f>TRIM(Raw_Data!J287)</f>
        <v>Debit Card</v>
      </c>
      <c r="K278" s="24" t="str">
        <f>PROPER(TRIM(Raw_Data!K287))</f>
        <v>Cancelled</v>
      </c>
      <c r="L278" s="24" t="str">
        <f t="shared" si="17"/>
        <v>Sep</v>
      </c>
      <c r="M278" s="24" t="str">
        <f t="shared" si="18"/>
        <v>Wed</v>
      </c>
      <c r="N278" s="24" t="str">
        <f t="shared" si="19"/>
        <v>Cancelled</v>
      </c>
      <c r="O278" s="24" t="str">
        <f>IF(ROUND(G278-Raw_Data!G287,2)=0,"OK","Corrected")</f>
        <v>OK</v>
      </c>
    </row>
    <row r="279" spans="1:15" x14ac:dyDescent="0.3">
      <c r="A279" s="24" t="str">
        <f>TRIM(Raw_Data!A288)</f>
        <v>AMZ-10303</v>
      </c>
      <c r="B279" s="25">
        <f>Raw_Data!B288</f>
        <v>46281</v>
      </c>
      <c r="C279" s="24" t="str">
        <f>PROPER(TRIM(Raw_Data!C288))</f>
        <v>Mixer Grinder</v>
      </c>
      <c r="D279" s="24" t="str">
        <f>TRIM(Raw_Data!D288)</f>
        <v>Home &amp; Kitchen</v>
      </c>
      <c r="E279" s="26">
        <f>Raw_Data!E288</f>
        <v>3499</v>
      </c>
      <c r="F279" s="24">
        <f>Raw_Data!F288</f>
        <v>2</v>
      </c>
      <c r="G279" s="26">
        <f t="shared" si="16"/>
        <v>6998</v>
      </c>
      <c r="H279" s="24" t="str">
        <f>PROPER(TRIM(Raw_Data!H288))</f>
        <v>Sahil Sharma</v>
      </c>
      <c r="I279" s="24" t="str">
        <f>PROPER(TRIM(Raw_Data!I288))</f>
        <v>Ahmedabad</v>
      </c>
      <c r="J279" s="24" t="str">
        <f>TRIM(Raw_Data!J288)</f>
        <v>UPI</v>
      </c>
      <c r="K279" s="24" t="str">
        <f>PROPER(TRIM(Raw_Data!K288))</f>
        <v>Delivered</v>
      </c>
      <c r="L279" s="24" t="str">
        <f t="shared" si="17"/>
        <v>Sep</v>
      </c>
      <c r="M279" s="24" t="str">
        <f t="shared" si="18"/>
        <v>Wed</v>
      </c>
      <c r="N279" s="24" t="str">
        <f t="shared" si="19"/>
        <v>Delivered</v>
      </c>
      <c r="O279" s="24" t="str">
        <f>IF(ROUND(G279-Raw_Data!G288,2)=0,"OK","Corrected")</f>
        <v>OK</v>
      </c>
    </row>
    <row r="280" spans="1:15" x14ac:dyDescent="0.3">
      <c r="A280" s="24" t="str">
        <f>TRIM(Raw_Data!A289)</f>
        <v>AMZ-10314</v>
      </c>
      <c r="B280" s="25">
        <f>Raw_Data!B289</f>
        <v>46281</v>
      </c>
      <c r="C280" s="24" t="str">
        <f>PROPER(TRIM(Raw_Data!C289))</f>
        <v>Cotton T-Shirt</v>
      </c>
      <c r="D280" s="24" t="str">
        <f>TRIM(Raw_Data!D289)</f>
        <v>Clothing</v>
      </c>
      <c r="E280" s="26">
        <f>Raw_Data!E289</f>
        <v>599</v>
      </c>
      <c r="F280" s="24">
        <f>Raw_Data!F289</f>
        <v>2</v>
      </c>
      <c r="G280" s="26">
        <f t="shared" si="16"/>
        <v>1198</v>
      </c>
      <c r="H280" s="24" t="str">
        <f>PROPER(TRIM(Raw_Data!H289))</f>
        <v>Priya Khan</v>
      </c>
      <c r="I280" s="24" t="str">
        <f>PROPER(TRIM(Raw_Data!I289))</f>
        <v>Jaipur</v>
      </c>
      <c r="J280" s="24" t="str">
        <f>TRIM(Raw_Data!J289)</f>
        <v>UPI</v>
      </c>
      <c r="K280" s="24" t="str">
        <f>PROPER(TRIM(Raw_Data!K289))</f>
        <v>Delivered</v>
      </c>
      <c r="L280" s="24" t="str">
        <f t="shared" si="17"/>
        <v>Sep</v>
      </c>
      <c r="M280" s="24" t="str">
        <f t="shared" si="18"/>
        <v>Wed</v>
      </c>
      <c r="N280" s="24" t="str">
        <f t="shared" si="19"/>
        <v>Delivered</v>
      </c>
      <c r="O280" s="24" t="str">
        <f>IF(ROUND(G280-Raw_Data!G289,2)=0,"OK","Corrected")</f>
        <v>OK</v>
      </c>
    </row>
    <row r="281" spans="1:15" x14ac:dyDescent="0.3">
      <c r="A281" s="24" t="str">
        <f>TRIM(Raw_Data!A290)</f>
        <v>AMZ-10342</v>
      </c>
      <c r="B281" s="25">
        <f>Raw_Data!B290</f>
        <v>46281</v>
      </c>
      <c r="C281" s="24" t="str">
        <f>PROPER(TRIM(Raw_Data!C290))</f>
        <v>Casual Sneakers</v>
      </c>
      <c r="D281" s="24" t="str">
        <f>TRIM(Raw_Data!D290)</f>
        <v>Footwear</v>
      </c>
      <c r="E281" s="26">
        <f>Raw_Data!E290</f>
        <v>2199</v>
      </c>
      <c r="F281" s="24">
        <f>Raw_Data!F290</f>
        <v>1</v>
      </c>
      <c r="G281" s="26">
        <f t="shared" si="16"/>
        <v>2199</v>
      </c>
      <c r="H281" s="24" t="str">
        <f>PROPER(TRIM(Raw_Data!H290))</f>
        <v>Anjali Verma</v>
      </c>
      <c r="I281" s="24" t="str">
        <f>PROPER(TRIM(Raw_Data!I290))</f>
        <v>Mumbai</v>
      </c>
      <c r="J281" s="24" t="str">
        <f>TRIM(Raw_Data!J290)</f>
        <v>UPI</v>
      </c>
      <c r="K281" s="24" t="str">
        <f>PROPER(TRIM(Raw_Data!K290))</f>
        <v>Delivered</v>
      </c>
      <c r="L281" s="24" t="str">
        <f t="shared" si="17"/>
        <v>Sep</v>
      </c>
      <c r="M281" s="24" t="str">
        <f t="shared" si="18"/>
        <v>Wed</v>
      </c>
      <c r="N281" s="24" t="str">
        <f t="shared" si="19"/>
        <v>Delivered</v>
      </c>
      <c r="O281" s="24" t="str">
        <f>IF(ROUND(G281-Raw_Data!G290,2)=0,"OK","Corrected")</f>
        <v>OK</v>
      </c>
    </row>
    <row r="282" spans="1:15" x14ac:dyDescent="0.3">
      <c r="A282" s="24" t="str">
        <f>TRIM(Raw_Data!A291)</f>
        <v>AMZ-10347</v>
      </c>
      <c r="B282" s="25">
        <f>Raw_Data!B291</f>
        <v>46281</v>
      </c>
      <c r="C282" s="24" t="str">
        <f>PROPER(TRIM(Raw_Data!C291))</f>
        <v>Water Bottle</v>
      </c>
      <c r="D282" s="24" t="str">
        <f>TRIM(Raw_Data!D291)</f>
        <v>Home &amp; Kitchen</v>
      </c>
      <c r="E282" s="26">
        <f>Raw_Data!E291</f>
        <v>499</v>
      </c>
      <c r="F282" s="24">
        <f>Raw_Data!F291</f>
        <v>1</v>
      </c>
      <c r="G282" s="26">
        <f t="shared" si="16"/>
        <v>499</v>
      </c>
      <c r="H282" s="24" t="str">
        <f>PROPER(TRIM(Raw_Data!H291))</f>
        <v>Anjali Verma</v>
      </c>
      <c r="I282" s="24" t="str">
        <f>PROPER(TRIM(Raw_Data!I291))</f>
        <v>Mumbai</v>
      </c>
      <c r="J282" s="24" t="str">
        <f>TRIM(Raw_Data!J291)</f>
        <v>UPI</v>
      </c>
      <c r="K282" s="24" t="str">
        <f>PROPER(TRIM(Raw_Data!K291))</f>
        <v>Delivered</v>
      </c>
      <c r="L282" s="24" t="str">
        <f t="shared" si="17"/>
        <v>Sep</v>
      </c>
      <c r="M282" s="24" t="str">
        <f t="shared" si="18"/>
        <v>Wed</v>
      </c>
      <c r="N282" s="24" t="str">
        <f t="shared" si="19"/>
        <v>Delivered</v>
      </c>
      <c r="O282" s="24" t="str">
        <f>IF(ROUND(G282-Raw_Data!G291,2)=0,"OK","Corrected")</f>
        <v>OK</v>
      </c>
    </row>
    <row r="283" spans="1:15" x14ac:dyDescent="0.3">
      <c r="A283" s="24" t="str">
        <f>TRIM(Raw_Data!A292)</f>
        <v>AMZ-10436</v>
      </c>
      <c r="B283" s="25">
        <f>Raw_Data!B292</f>
        <v>46281</v>
      </c>
      <c r="C283" s="24" t="str">
        <f>PROPER(TRIM(Raw_Data!C292))</f>
        <v>Water Bottle</v>
      </c>
      <c r="D283" s="24" t="str">
        <f>TRIM(Raw_Data!D292)</f>
        <v>Home &amp; Kitchen</v>
      </c>
      <c r="E283" s="26">
        <f>Raw_Data!E292</f>
        <v>499</v>
      </c>
      <c r="F283" s="24">
        <f>Raw_Data!F292</f>
        <v>1</v>
      </c>
      <c r="G283" s="26">
        <f t="shared" si="16"/>
        <v>499</v>
      </c>
      <c r="H283" s="24" t="str">
        <f>PROPER(TRIM(Raw_Data!H292))</f>
        <v>Aarav Joshi</v>
      </c>
      <c r="I283" s="24" t="str">
        <f>PROPER(TRIM(Raw_Data!I292))</f>
        <v>Pune</v>
      </c>
      <c r="J283" s="24" t="str">
        <f>TRIM(Raw_Data!J292)</f>
        <v>UPI</v>
      </c>
      <c r="K283" s="24" t="str">
        <f>PROPER(TRIM(Raw_Data!K292))</f>
        <v>Delivered</v>
      </c>
      <c r="L283" s="24" t="str">
        <f t="shared" si="17"/>
        <v>Sep</v>
      </c>
      <c r="M283" s="24" t="str">
        <f t="shared" si="18"/>
        <v>Wed</v>
      </c>
      <c r="N283" s="24" t="str">
        <f t="shared" si="19"/>
        <v>Delivered</v>
      </c>
      <c r="O283" s="24" t="str">
        <f>IF(ROUND(G283-Raw_Data!G292,2)=0,"OK","Corrected")</f>
        <v>OK</v>
      </c>
    </row>
    <row r="284" spans="1:15" x14ac:dyDescent="0.3">
      <c r="A284" s="24" t="str">
        <f>TRIM(Raw_Data!A293)</f>
        <v>AMZ-10438</v>
      </c>
      <c r="B284" s="25">
        <f>Raw_Data!B293</f>
        <v>46281</v>
      </c>
      <c r="C284" s="24" t="str">
        <f>PROPER(TRIM(Raw_Data!C293))</f>
        <v>Self Help Book</v>
      </c>
      <c r="D284" s="24" t="str">
        <f>TRIM(Raw_Data!D293)</f>
        <v>Books</v>
      </c>
      <c r="E284" s="26">
        <f>Raw_Data!E293</f>
        <v>399</v>
      </c>
      <c r="F284" s="24">
        <f>Raw_Data!F293</f>
        <v>1</v>
      </c>
      <c r="G284" s="26">
        <f t="shared" si="16"/>
        <v>399</v>
      </c>
      <c r="H284" s="24" t="str">
        <f>PROPER(TRIM(Raw_Data!H293))</f>
        <v>Meera Rao</v>
      </c>
      <c r="I284" s="24" t="str">
        <f>PROPER(TRIM(Raw_Data!I293))</f>
        <v>Delhi</v>
      </c>
      <c r="J284" s="24" t="str">
        <f>TRIM(Raw_Data!J293)</f>
        <v>UPI</v>
      </c>
      <c r="K284" s="24" t="str">
        <f>PROPER(TRIM(Raw_Data!K293))</f>
        <v>Delivered</v>
      </c>
      <c r="L284" s="24" t="str">
        <f t="shared" si="17"/>
        <v>Sep</v>
      </c>
      <c r="M284" s="24" t="str">
        <f t="shared" si="18"/>
        <v>Wed</v>
      </c>
      <c r="N284" s="24" t="str">
        <f t="shared" si="19"/>
        <v>Delivered</v>
      </c>
      <c r="O284" s="24" t="str">
        <f>IF(ROUND(G284-Raw_Data!G293,2)=0,"OK","Corrected")</f>
        <v>OK</v>
      </c>
    </row>
    <row r="285" spans="1:15" x14ac:dyDescent="0.3">
      <c r="A285" s="24" t="str">
        <f>TRIM(Raw_Data!A294)</f>
        <v>AMZ-10019</v>
      </c>
      <c r="B285" s="25">
        <f>Raw_Data!B294</f>
        <v>46282</v>
      </c>
      <c r="C285" s="24" t="str">
        <f>PROPER(TRIM(Raw_Data!C294))</f>
        <v>Power Bank</v>
      </c>
      <c r="D285" s="24" t="str">
        <f>TRIM(Raw_Data!D294)</f>
        <v>Electronics</v>
      </c>
      <c r="E285" s="26">
        <f>Raw_Data!E294</f>
        <v>1299</v>
      </c>
      <c r="F285" s="24">
        <f>Raw_Data!F294</f>
        <v>1</v>
      </c>
      <c r="G285" s="26">
        <f t="shared" si="16"/>
        <v>1299</v>
      </c>
      <c r="H285" s="24" t="str">
        <f>PROPER(TRIM(Raw_Data!H294))</f>
        <v>Nikhil Rao</v>
      </c>
      <c r="I285" s="24" t="str">
        <f>PROPER(TRIM(Raw_Data!I294))</f>
        <v>Chennai</v>
      </c>
      <c r="J285" s="24" t="str">
        <f>TRIM(Raw_Data!J294)</f>
        <v>Cash On Delivery</v>
      </c>
      <c r="K285" s="24" t="str">
        <f>PROPER(TRIM(Raw_Data!K294))</f>
        <v>Delivered</v>
      </c>
      <c r="L285" s="24" t="str">
        <f t="shared" si="17"/>
        <v>Sep</v>
      </c>
      <c r="M285" s="24" t="str">
        <f t="shared" si="18"/>
        <v>Thu</v>
      </c>
      <c r="N285" s="24" t="str">
        <f t="shared" si="19"/>
        <v>Delivered</v>
      </c>
      <c r="O285" s="24" t="str">
        <f>IF(ROUND(G285-Raw_Data!G294,2)=0,"OK","Corrected")</f>
        <v>OK</v>
      </c>
    </row>
    <row r="286" spans="1:15" x14ac:dyDescent="0.3">
      <c r="A286" s="24" t="str">
        <f>TRIM(Raw_Data!A295)</f>
        <v>AMZ-10047</v>
      </c>
      <c r="B286" s="25">
        <f>Raw_Data!B295</f>
        <v>46282</v>
      </c>
      <c r="C286" s="24" t="str">
        <f>PROPER(TRIM(Raw_Data!C295))</f>
        <v>Power Bank</v>
      </c>
      <c r="D286" s="24" t="str">
        <f>TRIM(Raw_Data!D295)</f>
        <v>Electronics</v>
      </c>
      <c r="E286" s="26">
        <f>Raw_Data!E295</f>
        <v>1299</v>
      </c>
      <c r="F286" s="24">
        <f>Raw_Data!F295</f>
        <v>2</v>
      </c>
      <c r="G286" s="26">
        <f t="shared" si="16"/>
        <v>2598</v>
      </c>
      <c r="H286" s="24" t="str">
        <f>PROPER(TRIM(Raw_Data!H295))</f>
        <v>Aarav Das</v>
      </c>
      <c r="I286" s="24" t="str">
        <f>PROPER(TRIM(Raw_Data!I295))</f>
        <v>Jaipur</v>
      </c>
      <c r="J286" s="24" t="str">
        <f>TRIM(Raw_Data!J295)</f>
        <v>Net Banking</v>
      </c>
      <c r="K286" s="24" t="str">
        <f>PROPER(TRIM(Raw_Data!K295))</f>
        <v>Delivered</v>
      </c>
      <c r="L286" s="24" t="str">
        <f t="shared" si="17"/>
        <v>Sep</v>
      </c>
      <c r="M286" s="24" t="str">
        <f t="shared" si="18"/>
        <v>Thu</v>
      </c>
      <c r="N286" s="24" t="str">
        <f t="shared" si="19"/>
        <v>Delivered</v>
      </c>
      <c r="O286" s="24" t="str">
        <f>IF(ROUND(G286-Raw_Data!G295,2)=0,"OK","Corrected")</f>
        <v>OK</v>
      </c>
    </row>
    <row r="287" spans="1:15" x14ac:dyDescent="0.3">
      <c r="A287" s="24" t="str">
        <f>TRIM(Raw_Data!A296)</f>
        <v>AMZ-10092</v>
      </c>
      <c r="B287" s="25">
        <f>Raw_Data!B296</f>
        <v>46282</v>
      </c>
      <c r="C287" s="24" t="str">
        <f>PROPER(TRIM(Raw_Data!C296))</f>
        <v>Water Bottle</v>
      </c>
      <c r="D287" s="24" t="str">
        <f>TRIM(Raw_Data!D296)</f>
        <v>Home &amp; Kitchen</v>
      </c>
      <c r="E287" s="26">
        <f>Raw_Data!E296</f>
        <v>499</v>
      </c>
      <c r="F287" s="24">
        <f>Raw_Data!F296</f>
        <v>1</v>
      </c>
      <c r="G287" s="26">
        <f t="shared" si="16"/>
        <v>499</v>
      </c>
      <c r="H287" s="24" t="str">
        <f>PROPER(TRIM(Raw_Data!H296))</f>
        <v>Aarav Das</v>
      </c>
      <c r="I287" s="24" t="str">
        <f>PROPER(TRIM(Raw_Data!I296))</f>
        <v>Jaipur</v>
      </c>
      <c r="J287" s="24" t="str">
        <f>TRIM(Raw_Data!J296)</f>
        <v>Net Banking</v>
      </c>
      <c r="K287" s="24" t="str">
        <f>PROPER(TRIM(Raw_Data!K296))</f>
        <v>Delivered</v>
      </c>
      <c r="L287" s="24" t="str">
        <f t="shared" si="17"/>
        <v>Sep</v>
      </c>
      <c r="M287" s="24" t="str">
        <f t="shared" si="18"/>
        <v>Thu</v>
      </c>
      <c r="N287" s="24" t="str">
        <f t="shared" si="19"/>
        <v>Delivered</v>
      </c>
      <c r="O287" s="24" t="str">
        <f>IF(ROUND(G287-Raw_Data!G296,2)=0,"OK","Corrected")</f>
        <v>OK</v>
      </c>
    </row>
    <row r="288" spans="1:15" x14ac:dyDescent="0.3">
      <c r="A288" s="24" t="str">
        <f>TRIM(Raw_Data!A297)</f>
        <v>AMZ-10159</v>
      </c>
      <c r="B288" s="25">
        <f>Raw_Data!B297</f>
        <v>46282</v>
      </c>
      <c r="C288" s="24" t="str">
        <f>PROPER(TRIM(Raw_Data!C297))</f>
        <v>Self Help Book</v>
      </c>
      <c r="D288" s="24" t="str">
        <f>TRIM(Raw_Data!D297)</f>
        <v>Books</v>
      </c>
      <c r="E288" s="26">
        <f>Raw_Data!E297</f>
        <v>399</v>
      </c>
      <c r="F288" s="24">
        <f>Raw_Data!F297</f>
        <v>3</v>
      </c>
      <c r="G288" s="26">
        <f t="shared" si="16"/>
        <v>1197</v>
      </c>
      <c r="H288" s="24" t="str">
        <f>PROPER(TRIM(Raw_Data!H297))</f>
        <v>Meera Singh</v>
      </c>
      <c r="I288" s="24" t="str">
        <f>PROPER(TRIM(Raw_Data!I297))</f>
        <v>Hyderabad</v>
      </c>
      <c r="J288" s="24" t="str">
        <f>TRIM(Raw_Data!J297)</f>
        <v>Credit Card</v>
      </c>
      <c r="K288" s="24" t="str">
        <f>PROPER(TRIM(Raw_Data!K297))</f>
        <v>Delivered</v>
      </c>
      <c r="L288" s="24" t="str">
        <f t="shared" si="17"/>
        <v>Sep</v>
      </c>
      <c r="M288" s="24" t="str">
        <f t="shared" si="18"/>
        <v>Thu</v>
      </c>
      <c r="N288" s="24" t="str">
        <f t="shared" si="19"/>
        <v>Delivered</v>
      </c>
      <c r="O288" s="24" t="str">
        <f>IF(ROUND(G288-Raw_Data!G297,2)=0,"OK","Corrected")</f>
        <v>OK</v>
      </c>
    </row>
    <row r="289" spans="1:15" x14ac:dyDescent="0.3">
      <c r="A289" s="24" t="str">
        <f>TRIM(Raw_Data!A298)</f>
        <v>AMZ-10185</v>
      </c>
      <c r="B289" s="25">
        <f>Raw_Data!B298</f>
        <v>46282</v>
      </c>
      <c r="C289" s="24" t="str">
        <f>PROPER(TRIM(Raw_Data!C298))</f>
        <v>Python Programming Book</v>
      </c>
      <c r="D289" s="24" t="str">
        <f>TRIM(Raw_Data!D298)</f>
        <v>Books</v>
      </c>
      <c r="E289" s="26">
        <f>Raw_Data!E298</f>
        <v>699</v>
      </c>
      <c r="F289" s="24">
        <f>Raw_Data!F298</f>
        <v>1</v>
      </c>
      <c r="G289" s="26">
        <f t="shared" si="16"/>
        <v>699</v>
      </c>
      <c r="H289" s="24" t="str">
        <f>PROPER(TRIM(Raw_Data!H298))</f>
        <v>Priya Khan</v>
      </c>
      <c r="I289" s="24" t="str">
        <f>PROPER(TRIM(Raw_Data!I298))</f>
        <v>Jaipur</v>
      </c>
      <c r="J289" s="24" t="str">
        <f>TRIM(Raw_Data!J298)</f>
        <v>UPI</v>
      </c>
      <c r="K289" s="24" t="str">
        <f>PROPER(TRIM(Raw_Data!K298))</f>
        <v>Delivered</v>
      </c>
      <c r="L289" s="24" t="str">
        <f t="shared" si="17"/>
        <v>Sep</v>
      </c>
      <c r="M289" s="24" t="str">
        <f t="shared" si="18"/>
        <v>Thu</v>
      </c>
      <c r="N289" s="24" t="str">
        <f t="shared" si="19"/>
        <v>Delivered</v>
      </c>
      <c r="O289" s="24" t="str">
        <f>IF(ROUND(G289-Raw_Data!G298,2)=0,"OK","Corrected")</f>
        <v>OK</v>
      </c>
    </row>
    <row r="290" spans="1:15" x14ac:dyDescent="0.3">
      <c r="A290" s="24" t="str">
        <f>TRIM(Raw_Data!A299)</f>
        <v>AMZ-10213</v>
      </c>
      <c r="B290" s="25">
        <f>Raw_Data!B299</f>
        <v>46282</v>
      </c>
      <c r="C290" s="24" t="str">
        <f>PROPER(TRIM(Raw_Data!C299))</f>
        <v>Wireless Earbuds</v>
      </c>
      <c r="D290" s="24" t="str">
        <f>TRIM(Raw_Data!D299)</f>
        <v>Electronics</v>
      </c>
      <c r="E290" s="26">
        <f>Raw_Data!E299</f>
        <v>2499</v>
      </c>
      <c r="F290" s="24">
        <f>Raw_Data!F299</f>
        <v>2</v>
      </c>
      <c r="G290" s="26">
        <f t="shared" si="16"/>
        <v>4998</v>
      </c>
      <c r="H290" s="24" t="str">
        <f>PROPER(TRIM(Raw_Data!H299))</f>
        <v>Pooja Iyer</v>
      </c>
      <c r="I290" s="24" t="str">
        <f>PROPER(TRIM(Raw_Data!I299))</f>
        <v>Mumbai</v>
      </c>
      <c r="J290" s="24" t="str">
        <f>TRIM(Raw_Data!J299)</f>
        <v>UPI</v>
      </c>
      <c r="K290" s="24" t="str">
        <f>PROPER(TRIM(Raw_Data!K299))</f>
        <v>Cancelled</v>
      </c>
      <c r="L290" s="24" t="str">
        <f t="shared" si="17"/>
        <v>Sep</v>
      </c>
      <c r="M290" s="24" t="str">
        <f t="shared" si="18"/>
        <v>Thu</v>
      </c>
      <c r="N290" s="24" t="str">
        <f t="shared" si="19"/>
        <v>Cancelled</v>
      </c>
      <c r="O290" s="24" t="str">
        <f>IF(ROUND(G290-Raw_Data!G299,2)=0,"OK","Corrected")</f>
        <v>OK</v>
      </c>
    </row>
    <row r="291" spans="1:15" x14ac:dyDescent="0.3">
      <c r="A291" s="24" t="str">
        <f>TRIM(Raw_Data!A300)</f>
        <v>AMZ-10219</v>
      </c>
      <c r="B291" s="25">
        <f>Raw_Data!B300</f>
        <v>46282</v>
      </c>
      <c r="C291" s="24" t="str">
        <f>PROPER(TRIM(Raw_Data!C300))</f>
        <v>Self Help Book</v>
      </c>
      <c r="D291" s="24" t="str">
        <f>TRIM(Raw_Data!D300)</f>
        <v>Books</v>
      </c>
      <c r="E291" s="26">
        <f>Raw_Data!E300</f>
        <v>399</v>
      </c>
      <c r="F291" s="24">
        <f>Raw_Data!F300</f>
        <v>1</v>
      </c>
      <c r="G291" s="26">
        <f t="shared" si="16"/>
        <v>399</v>
      </c>
      <c r="H291" s="24" t="str">
        <f>PROPER(TRIM(Raw_Data!H300))</f>
        <v>Meera Rao</v>
      </c>
      <c r="I291" s="24" t="str">
        <f>PROPER(TRIM(Raw_Data!I300))</f>
        <v>Delhi</v>
      </c>
      <c r="J291" s="24" t="str">
        <f>TRIM(Raw_Data!J300)</f>
        <v>UPI</v>
      </c>
      <c r="K291" s="24" t="str">
        <f>PROPER(TRIM(Raw_Data!K300))</f>
        <v>Delivered</v>
      </c>
      <c r="L291" s="24" t="str">
        <f t="shared" si="17"/>
        <v>Sep</v>
      </c>
      <c r="M291" s="24" t="str">
        <f t="shared" si="18"/>
        <v>Thu</v>
      </c>
      <c r="N291" s="24" t="str">
        <f t="shared" si="19"/>
        <v>Delivered</v>
      </c>
      <c r="O291" s="24" t="str">
        <f>IF(ROUND(G291-Raw_Data!G300,2)=0,"OK","Corrected")</f>
        <v>OK</v>
      </c>
    </row>
    <row r="292" spans="1:15" x14ac:dyDescent="0.3">
      <c r="A292" s="24" t="str">
        <f>TRIM(Raw_Data!A301)</f>
        <v>AMZ-10265</v>
      </c>
      <c r="B292" s="25">
        <f>Raw_Data!B301</f>
        <v>46282</v>
      </c>
      <c r="C292" s="24" t="str">
        <f>PROPER(TRIM(Raw_Data!C301))</f>
        <v>Water Bottle</v>
      </c>
      <c r="D292" s="24" t="str">
        <f>TRIM(Raw_Data!D301)</f>
        <v>Home &amp; Kitchen</v>
      </c>
      <c r="E292" s="26">
        <f>Raw_Data!E301</f>
        <v>499</v>
      </c>
      <c r="F292" s="24">
        <f>Raw_Data!F301</f>
        <v>1</v>
      </c>
      <c r="G292" s="26">
        <f t="shared" si="16"/>
        <v>499</v>
      </c>
      <c r="H292" s="24" t="str">
        <f>PROPER(TRIM(Raw_Data!H301))</f>
        <v>Tanvi Verma</v>
      </c>
      <c r="I292" s="24" t="str">
        <f>PROPER(TRIM(Raw_Data!I301))</f>
        <v>Kolkata</v>
      </c>
      <c r="J292" s="24" t="str">
        <f>TRIM(Raw_Data!J301)</f>
        <v>UPI</v>
      </c>
      <c r="K292" s="24" t="str">
        <f>PROPER(TRIM(Raw_Data!K301))</f>
        <v>Delivered</v>
      </c>
      <c r="L292" s="24" t="str">
        <f t="shared" si="17"/>
        <v>Sep</v>
      </c>
      <c r="M292" s="24" t="str">
        <f t="shared" si="18"/>
        <v>Thu</v>
      </c>
      <c r="N292" s="24" t="str">
        <f t="shared" si="19"/>
        <v>Delivered</v>
      </c>
      <c r="O292" s="24" t="str">
        <f>IF(ROUND(G292-Raw_Data!G301,2)=0,"OK","Corrected")</f>
        <v>OK</v>
      </c>
    </row>
    <row r="293" spans="1:15" x14ac:dyDescent="0.3">
      <c r="A293" s="24" t="str">
        <f>TRIM(Raw_Data!A302)</f>
        <v>AMZ-10297</v>
      </c>
      <c r="B293" s="25">
        <f>Raw_Data!B302</f>
        <v>46282</v>
      </c>
      <c r="C293" s="24" t="str">
        <f>PROPER(TRIM(Raw_Data!C302))</f>
        <v>Denim Jeans</v>
      </c>
      <c r="D293" s="24" t="str">
        <f>TRIM(Raw_Data!D302)</f>
        <v>Clothing</v>
      </c>
      <c r="E293" s="26">
        <f>Raw_Data!E302</f>
        <v>1799</v>
      </c>
      <c r="F293" s="24">
        <f>Raw_Data!F302</f>
        <v>1</v>
      </c>
      <c r="G293" s="26">
        <f t="shared" si="16"/>
        <v>1799</v>
      </c>
      <c r="H293" s="24" t="str">
        <f>PROPER(TRIM(Raw_Data!H302))</f>
        <v>Meera Singh</v>
      </c>
      <c r="I293" s="24" t="str">
        <f>PROPER(TRIM(Raw_Data!I302))</f>
        <v>Hyderabad</v>
      </c>
      <c r="J293" s="24" t="str">
        <f>TRIM(Raw_Data!J302)</f>
        <v>Credit Card</v>
      </c>
      <c r="K293" s="24" t="str">
        <f>PROPER(TRIM(Raw_Data!K302))</f>
        <v>Delivered</v>
      </c>
      <c r="L293" s="24" t="str">
        <f t="shared" si="17"/>
        <v>Sep</v>
      </c>
      <c r="M293" s="24" t="str">
        <f t="shared" si="18"/>
        <v>Thu</v>
      </c>
      <c r="N293" s="24" t="str">
        <f t="shared" si="19"/>
        <v>Delivered</v>
      </c>
      <c r="O293" s="24" t="str">
        <f>IF(ROUND(G293-Raw_Data!G302,2)=0,"OK","Corrected")</f>
        <v>OK</v>
      </c>
    </row>
    <row r="294" spans="1:15" x14ac:dyDescent="0.3">
      <c r="A294" s="24" t="str">
        <f>TRIM(Raw_Data!A303)</f>
        <v>AMZ-10320</v>
      </c>
      <c r="B294" s="25">
        <f>Raw_Data!B303</f>
        <v>46282</v>
      </c>
      <c r="C294" s="24" t="str">
        <f>PROPER(TRIM(Raw_Data!C303))</f>
        <v>Mixer Grinder</v>
      </c>
      <c r="D294" s="24" t="str">
        <f>TRIM(Raw_Data!D303)</f>
        <v>Home &amp; Kitchen</v>
      </c>
      <c r="E294" s="26">
        <f>Raw_Data!E303</f>
        <v>3499</v>
      </c>
      <c r="F294" s="24">
        <f>Raw_Data!F303</f>
        <v>4</v>
      </c>
      <c r="G294" s="26">
        <f t="shared" si="16"/>
        <v>13996</v>
      </c>
      <c r="H294" s="24" t="str">
        <f>PROPER(TRIM(Raw_Data!H303))</f>
        <v>Nikhil Rao</v>
      </c>
      <c r="I294" s="24" t="str">
        <f>PROPER(TRIM(Raw_Data!I303))</f>
        <v>Chennai</v>
      </c>
      <c r="J294" s="24" t="str">
        <f>TRIM(Raw_Data!J303)</f>
        <v>UPI</v>
      </c>
      <c r="K294" s="24" t="str">
        <f>PROPER(TRIM(Raw_Data!K303))</f>
        <v>Shipped</v>
      </c>
      <c r="L294" s="24" t="str">
        <f t="shared" si="17"/>
        <v>Sep</v>
      </c>
      <c r="M294" s="24" t="str">
        <f t="shared" si="18"/>
        <v>Thu</v>
      </c>
      <c r="N294" s="24" t="str">
        <f t="shared" si="19"/>
        <v>Pending</v>
      </c>
      <c r="O294" s="24" t="str">
        <f>IF(ROUND(G294-Raw_Data!G303,2)=0,"OK","Corrected")</f>
        <v>OK</v>
      </c>
    </row>
    <row r="295" spans="1:15" x14ac:dyDescent="0.3">
      <c r="A295" s="24" t="str">
        <f>TRIM(Raw_Data!A304)</f>
        <v>AMZ-10434</v>
      </c>
      <c r="B295" s="25">
        <f>Raw_Data!B304</f>
        <v>46282</v>
      </c>
      <c r="C295" s="24" t="str">
        <f>PROPER(TRIM(Raw_Data!C304))</f>
        <v>Smart Watch</v>
      </c>
      <c r="D295" s="24" t="str">
        <f>TRIM(Raw_Data!D304)</f>
        <v>Electronics</v>
      </c>
      <c r="E295" s="26">
        <f>Raw_Data!E304</f>
        <v>4999</v>
      </c>
      <c r="F295" s="24">
        <f>Raw_Data!F304</f>
        <v>1</v>
      </c>
      <c r="G295" s="26">
        <f t="shared" si="16"/>
        <v>4999</v>
      </c>
      <c r="H295" s="24" t="str">
        <f>PROPER(TRIM(Raw_Data!H304))</f>
        <v>Ishaan Chopra</v>
      </c>
      <c r="I295" s="24" t="str">
        <f>PROPER(TRIM(Raw_Data!I304))</f>
        <v>Mumbai</v>
      </c>
      <c r="J295" s="24" t="str">
        <f>TRIM(Raw_Data!J304)</f>
        <v>Debit Card</v>
      </c>
      <c r="K295" s="24" t="str">
        <f>PROPER(TRIM(Raw_Data!K304))</f>
        <v>Delivered</v>
      </c>
      <c r="L295" s="24" t="str">
        <f t="shared" si="17"/>
        <v>Sep</v>
      </c>
      <c r="M295" s="24" t="str">
        <f t="shared" si="18"/>
        <v>Thu</v>
      </c>
      <c r="N295" s="24" t="str">
        <f t="shared" si="19"/>
        <v>Delivered</v>
      </c>
      <c r="O295" s="24" t="str">
        <f>IF(ROUND(G295-Raw_Data!G304,2)=0,"OK","Corrected")</f>
        <v>OK</v>
      </c>
    </row>
    <row r="296" spans="1:15" x14ac:dyDescent="0.3">
      <c r="A296" s="24" t="str">
        <f>TRIM(Raw_Data!A305)</f>
        <v>AMZ-10480</v>
      </c>
      <c r="B296" s="25">
        <f>Raw_Data!B305</f>
        <v>46282</v>
      </c>
      <c r="C296" s="24" t="str">
        <f>PROPER(TRIM(Raw_Data!C305))</f>
        <v>Sandals</v>
      </c>
      <c r="D296" s="24" t="str">
        <f>TRIM(Raw_Data!D305)</f>
        <v>Footwear</v>
      </c>
      <c r="E296" s="26">
        <f>Raw_Data!E305</f>
        <v>899</v>
      </c>
      <c r="F296" s="24">
        <f>Raw_Data!F305</f>
        <v>1</v>
      </c>
      <c r="G296" s="26">
        <f t="shared" si="16"/>
        <v>899</v>
      </c>
      <c r="H296" s="24" t="str">
        <f>PROPER(TRIM(Raw_Data!H305))</f>
        <v>Ishaan Chopra</v>
      </c>
      <c r="I296" s="24" t="str">
        <f>PROPER(TRIM(Raw_Data!I305))</f>
        <v>Mumbai</v>
      </c>
      <c r="J296" s="24" t="str">
        <f>TRIM(Raw_Data!J305)</f>
        <v>Debit Card</v>
      </c>
      <c r="K296" s="24" t="str">
        <f>PROPER(TRIM(Raw_Data!K305))</f>
        <v>Delivered</v>
      </c>
      <c r="L296" s="24" t="str">
        <f t="shared" si="17"/>
        <v>Sep</v>
      </c>
      <c r="M296" s="24" t="str">
        <f t="shared" si="18"/>
        <v>Thu</v>
      </c>
      <c r="N296" s="24" t="str">
        <f t="shared" si="19"/>
        <v>Delivered</v>
      </c>
      <c r="O296" s="24" t="str">
        <f>IF(ROUND(G296-Raw_Data!G305,2)=0,"OK","Corrected")</f>
        <v>OK</v>
      </c>
    </row>
    <row r="297" spans="1:15" x14ac:dyDescent="0.3">
      <c r="A297" s="24" t="str">
        <f>TRIM(Raw_Data!A306)</f>
        <v>AMZ-10025</v>
      </c>
      <c r="B297" s="25">
        <f>Raw_Data!B306</f>
        <v>46283</v>
      </c>
      <c r="C297" s="24" t="str">
        <f>PROPER(TRIM(Raw_Data!C306))</f>
        <v>Denim Jeans</v>
      </c>
      <c r="D297" s="24" t="str">
        <f>TRIM(Raw_Data!D306)</f>
        <v>Clothing</v>
      </c>
      <c r="E297" s="26">
        <f>Raw_Data!E306</f>
        <v>1799</v>
      </c>
      <c r="F297" s="24">
        <f>Raw_Data!F306</f>
        <v>4</v>
      </c>
      <c r="G297" s="26">
        <f t="shared" si="16"/>
        <v>7196</v>
      </c>
      <c r="H297" s="24" t="str">
        <f>PROPER(TRIM(Raw_Data!H306))</f>
        <v>Aditya Rao</v>
      </c>
      <c r="I297" s="24" t="str">
        <f>PROPER(TRIM(Raw_Data!I306))</f>
        <v>Delhi</v>
      </c>
      <c r="J297" s="24" t="str">
        <f>TRIM(Raw_Data!J306)</f>
        <v>UPI</v>
      </c>
      <c r="K297" s="24" t="str">
        <f>PROPER(TRIM(Raw_Data!K306))</f>
        <v>Delivered</v>
      </c>
      <c r="L297" s="24" t="str">
        <f t="shared" si="17"/>
        <v>Sep</v>
      </c>
      <c r="M297" s="24" t="str">
        <f t="shared" si="18"/>
        <v>Fri</v>
      </c>
      <c r="N297" s="24" t="str">
        <f t="shared" si="19"/>
        <v>Delivered</v>
      </c>
      <c r="O297" s="24" t="str">
        <f>IF(ROUND(G297-Raw_Data!G306,2)=0,"OK","Corrected")</f>
        <v>OK</v>
      </c>
    </row>
    <row r="298" spans="1:15" x14ac:dyDescent="0.3">
      <c r="A298" s="24" t="str">
        <f>TRIM(Raw_Data!A307)</f>
        <v>AMZ-10095</v>
      </c>
      <c r="B298" s="25">
        <f>Raw_Data!B307</f>
        <v>46283</v>
      </c>
      <c r="C298" s="24" t="str">
        <f>PROPER(TRIM(Raw_Data!C307))</f>
        <v>Power Bank</v>
      </c>
      <c r="D298" s="24" t="str">
        <f>TRIM(Raw_Data!D307)</f>
        <v>Electronics</v>
      </c>
      <c r="E298" s="26">
        <f>Raw_Data!E307</f>
        <v>1299</v>
      </c>
      <c r="F298" s="24">
        <f>Raw_Data!F307</f>
        <v>1</v>
      </c>
      <c r="G298" s="26">
        <f t="shared" si="16"/>
        <v>1299</v>
      </c>
      <c r="H298" s="24" t="str">
        <f>PROPER(TRIM(Raw_Data!H307))</f>
        <v>Nikhil Rao</v>
      </c>
      <c r="I298" s="24" t="str">
        <f>PROPER(TRIM(Raw_Data!I307))</f>
        <v>Chennai</v>
      </c>
      <c r="J298" s="24" t="str">
        <f>TRIM(Raw_Data!J307)</f>
        <v>Credit Card</v>
      </c>
      <c r="K298" s="24" t="str">
        <f>PROPER(TRIM(Raw_Data!K307))</f>
        <v>Delivered</v>
      </c>
      <c r="L298" s="24" t="str">
        <f t="shared" si="17"/>
        <v>Sep</v>
      </c>
      <c r="M298" s="24" t="str">
        <f t="shared" si="18"/>
        <v>Fri</v>
      </c>
      <c r="N298" s="24" t="str">
        <f t="shared" si="19"/>
        <v>Delivered</v>
      </c>
      <c r="O298" s="24" t="str">
        <f>IF(ROUND(G298-Raw_Data!G307,2)=0,"OK","Corrected")</f>
        <v>OK</v>
      </c>
    </row>
    <row r="299" spans="1:15" x14ac:dyDescent="0.3">
      <c r="A299" s="24" t="str">
        <f>TRIM(Raw_Data!A308)</f>
        <v>AMZ-10105</v>
      </c>
      <c r="B299" s="25">
        <f>Raw_Data!B308</f>
        <v>46283</v>
      </c>
      <c r="C299" s="24" t="str">
        <f>PROPER(TRIM(Raw_Data!C308))</f>
        <v>Power Bank</v>
      </c>
      <c r="D299" s="24" t="str">
        <f>TRIM(Raw_Data!D308)</f>
        <v>Electronics</v>
      </c>
      <c r="E299" s="26">
        <f>Raw_Data!E308</f>
        <v>1299</v>
      </c>
      <c r="F299" s="24">
        <f>Raw_Data!F308</f>
        <v>4</v>
      </c>
      <c r="G299" s="26">
        <f t="shared" si="16"/>
        <v>5196</v>
      </c>
      <c r="H299" s="24" t="str">
        <f>PROPER(TRIM(Raw_Data!H308))</f>
        <v>Anjali Mehta</v>
      </c>
      <c r="I299" s="24" t="str">
        <f>PROPER(TRIM(Raw_Data!I308))</f>
        <v>Mumbai</v>
      </c>
      <c r="J299" s="24" t="str">
        <f>TRIM(Raw_Data!J308)</f>
        <v>Debit Card</v>
      </c>
      <c r="K299" s="24" t="str">
        <f>PROPER(TRIM(Raw_Data!K308))</f>
        <v>Delivered</v>
      </c>
      <c r="L299" s="24" t="str">
        <f t="shared" si="17"/>
        <v>Sep</v>
      </c>
      <c r="M299" s="24" t="str">
        <f t="shared" si="18"/>
        <v>Fri</v>
      </c>
      <c r="N299" s="24" t="str">
        <f t="shared" si="19"/>
        <v>Delivered</v>
      </c>
      <c r="O299" s="24" t="str">
        <f>IF(ROUND(G299-Raw_Data!G308,2)=0,"OK","Corrected")</f>
        <v>OK</v>
      </c>
    </row>
    <row r="300" spans="1:15" x14ac:dyDescent="0.3">
      <c r="A300" s="24" t="str">
        <f>TRIM(Raw_Data!A309)</f>
        <v>AMZ-10115</v>
      </c>
      <c r="B300" s="25">
        <f>Raw_Data!B309</f>
        <v>46283</v>
      </c>
      <c r="C300" s="24" t="str">
        <f>PROPER(TRIM(Raw_Data!C309))</f>
        <v>Water Bottle</v>
      </c>
      <c r="D300" s="24" t="str">
        <f>TRIM(Raw_Data!D309)</f>
        <v>Home &amp; Kitchen</v>
      </c>
      <c r="E300" s="26">
        <f>Raw_Data!E309</f>
        <v>499</v>
      </c>
      <c r="F300" s="24">
        <f>Raw_Data!F309</f>
        <v>3</v>
      </c>
      <c r="G300" s="26">
        <f t="shared" si="16"/>
        <v>1497</v>
      </c>
      <c r="H300" s="24" t="str">
        <f>PROPER(TRIM(Raw_Data!H309))</f>
        <v>Pooja Gupta</v>
      </c>
      <c r="I300" s="24" t="str">
        <f>PROPER(TRIM(Raw_Data!I309))</f>
        <v>Bangalore</v>
      </c>
      <c r="J300" s="24" t="str">
        <f>TRIM(Raw_Data!J309)</f>
        <v>Credit Card</v>
      </c>
      <c r="K300" s="24" t="str">
        <f>PROPER(TRIM(Raw_Data!K309))</f>
        <v>Delivered</v>
      </c>
      <c r="L300" s="24" t="str">
        <f t="shared" si="17"/>
        <v>Sep</v>
      </c>
      <c r="M300" s="24" t="str">
        <f t="shared" si="18"/>
        <v>Fri</v>
      </c>
      <c r="N300" s="24" t="str">
        <f t="shared" si="19"/>
        <v>Delivered</v>
      </c>
      <c r="O300" s="24" t="str">
        <f>IF(ROUND(G300-Raw_Data!G309,2)=0,"OK","Corrected")</f>
        <v>OK</v>
      </c>
    </row>
    <row r="301" spans="1:15" x14ac:dyDescent="0.3">
      <c r="A301" s="24" t="str">
        <f>TRIM(Raw_Data!A310)</f>
        <v>AMZ-10149</v>
      </c>
      <c r="B301" s="25">
        <f>Raw_Data!B310</f>
        <v>46283</v>
      </c>
      <c r="C301" s="24" t="str">
        <f>PROPER(TRIM(Raw_Data!C310))</f>
        <v>Self Help Book</v>
      </c>
      <c r="D301" s="24" t="str">
        <f>TRIM(Raw_Data!D310)</f>
        <v>Books</v>
      </c>
      <c r="E301" s="26">
        <f>Raw_Data!E310</f>
        <v>399</v>
      </c>
      <c r="F301" s="24">
        <f>Raw_Data!F310</f>
        <v>3</v>
      </c>
      <c r="G301" s="26">
        <f t="shared" si="16"/>
        <v>1197</v>
      </c>
      <c r="H301" s="24" t="str">
        <f>PROPER(TRIM(Raw_Data!H310))</f>
        <v>Sahil Sharma</v>
      </c>
      <c r="I301" s="24" t="str">
        <f>PROPER(TRIM(Raw_Data!I310))</f>
        <v>Ahmedabad</v>
      </c>
      <c r="J301" s="24" t="str">
        <f>TRIM(Raw_Data!J310)</f>
        <v>UPI</v>
      </c>
      <c r="K301" s="24" t="str">
        <f>PROPER(TRIM(Raw_Data!K310))</f>
        <v>Delivered</v>
      </c>
      <c r="L301" s="24" t="str">
        <f t="shared" si="17"/>
        <v>Sep</v>
      </c>
      <c r="M301" s="24" t="str">
        <f t="shared" si="18"/>
        <v>Fri</v>
      </c>
      <c r="N301" s="24" t="str">
        <f t="shared" si="19"/>
        <v>Delivered</v>
      </c>
      <c r="O301" s="24" t="str">
        <f>IF(ROUND(G301-Raw_Data!G310,2)=0,"OK","Corrected")</f>
        <v>OK</v>
      </c>
    </row>
    <row r="302" spans="1:15" x14ac:dyDescent="0.3">
      <c r="A302" s="24" t="str">
        <f>TRIM(Raw_Data!A311)</f>
        <v>AMZ-10165</v>
      </c>
      <c r="B302" s="25">
        <f>Raw_Data!B311</f>
        <v>46283</v>
      </c>
      <c r="C302" s="24" t="str">
        <f>PROPER(TRIM(Raw_Data!C311))</f>
        <v>Power Bank</v>
      </c>
      <c r="D302" s="24" t="str">
        <f>TRIM(Raw_Data!D311)</f>
        <v>Electronics</v>
      </c>
      <c r="E302" s="26">
        <f>Raw_Data!E311</f>
        <v>1299</v>
      </c>
      <c r="F302" s="24">
        <f>Raw_Data!F311</f>
        <v>1</v>
      </c>
      <c r="G302" s="26">
        <f t="shared" si="16"/>
        <v>1299</v>
      </c>
      <c r="H302" s="24" t="str">
        <f>PROPER(TRIM(Raw_Data!H311))</f>
        <v>Vivaan Das</v>
      </c>
      <c r="I302" s="24" t="str">
        <f>PROPER(TRIM(Raw_Data!I311))</f>
        <v>Ahmedabad</v>
      </c>
      <c r="J302" s="24" t="str">
        <f>TRIM(Raw_Data!J311)</f>
        <v>UPI</v>
      </c>
      <c r="K302" s="24" t="str">
        <f>PROPER(TRIM(Raw_Data!K311))</f>
        <v>Delivered</v>
      </c>
      <c r="L302" s="24" t="str">
        <f t="shared" si="17"/>
        <v>Sep</v>
      </c>
      <c r="M302" s="24" t="str">
        <f t="shared" si="18"/>
        <v>Fri</v>
      </c>
      <c r="N302" s="24" t="str">
        <f t="shared" si="19"/>
        <v>Delivered</v>
      </c>
      <c r="O302" s="24" t="str">
        <f>IF(ROUND(G302-Raw_Data!G311,2)=0,"OK","Corrected")</f>
        <v>OK</v>
      </c>
    </row>
    <row r="303" spans="1:15" x14ac:dyDescent="0.3">
      <c r="A303" s="24" t="str">
        <f>TRIM(Raw_Data!A312)</f>
        <v>AMZ-10177</v>
      </c>
      <c r="B303" s="25">
        <f>Raw_Data!B312</f>
        <v>46283</v>
      </c>
      <c r="C303" s="24" t="str">
        <f>PROPER(TRIM(Raw_Data!C312))</f>
        <v>Power Bank</v>
      </c>
      <c r="D303" s="24" t="str">
        <f>TRIM(Raw_Data!D312)</f>
        <v>Electronics</v>
      </c>
      <c r="E303" s="26">
        <f>Raw_Data!E312</f>
        <v>1299</v>
      </c>
      <c r="F303" s="24">
        <f>Raw_Data!F312</f>
        <v>4</v>
      </c>
      <c r="G303" s="26">
        <f t="shared" si="16"/>
        <v>5196</v>
      </c>
      <c r="H303" s="24" t="str">
        <f>PROPER(TRIM(Raw_Data!H312))</f>
        <v>Anjali Verma</v>
      </c>
      <c r="I303" s="24" t="str">
        <f>PROPER(TRIM(Raw_Data!I312))</f>
        <v>Mumbai</v>
      </c>
      <c r="J303" s="24" t="str">
        <f>TRIM(Raw_Data!J312)</f>
        <v>UPI</v>
      </c>
      <c r="K303" s="24" t="str">
        <f>PROPER(TRIM(Raw_Data!K312))</f>
        <v>Delivered</v>
      </c>
      <c r="L303" s="24" t="str">
        <f t="shared" si="17"/>
        <v>Sep</v>
      </c>
      <c r="M303" s="24" t="str">
        <f t="shared" si="18"/>
        <v>Fri</v>
      </c>
      <c r="N303" s="24" t="str">
        <f t="shared" si="19"/>
        <v>Delivered</v>
      </c>
      <c r="O303" s="24" t="str">
        <f>IF(ROUND(G303-Raw_Data!G312,2)=0,"OK","Corrected")</f>
        <v>OK</v>
      </c>
    </row>
    <row r="304" spans="1:15" x14ac:dyDescent="0.3">
      <c r="A304" s="24" t="str">
        <f>TRIM(Raw_Data!A313)</f>
        <v>AMZ-10227</v>
      </c>
      <c r="B304" s="25">
        <f>Raw_Data!B313</f>
        <v>46283</v>
      </c>
      <c r="C304" s="24" t="str">
        <f>PROPER(TRIM(Raw_Data!C313))</f>
        <v>Water Bottle</v>
      </c>
      <c r="D304" s="24" t="str">
        <f>TRIM(Raw_Data!D313)</f>
        <v>Home &amp; Kitchen</v>
      </c>
      <c r="E304" s="26">
        <f>Raw_Data!E313</f>
        <v>499</v>
      </c>
      <c r="F304" s="24">
        <f>Raw_Data!F313</f>
        <v>1</v>
      </c>
      <c r="G304" s="26">
        <f t="shared" si="16"/>
        <v>499</v>
      </c>
      <c r="H304" s="24" t="str">
        <f>PROPER(TRIM(Raw_Data!H313))</f>
        <v>Aditya Singh</v>
      </c>
      <c r="I304" s="24" t="str">
        <f>PROPER(TRIM(Raw_Data!I313))</f>
        <v>Delhi</v>
      </c>
      <c r="J304" s="24" t="str">
        <f>TRIM(Raw_Data!J313)</f>
        <v>Debit Card</v>
      </c>
      <c r="K304" s="24" t="str">
        <f>PROPER(TRIM(Raw_Data!K313))</f>
        <v>Delivered</v>
      </c>
      <c r="L304" s="24" t="str">
        <f t="shared" si="17"/>
        <v>Sep</v>
      </c>
      <c r="M304" s="24" t="str">
        <f t="shared" si="18"/>
        <v>Fri</v>
      </c>
      <c r="N304" s="24" t="str">
        <f t="shared" si="19"/>
        <v>Delivered</v>
      </c>
      <c r="O304" s="24" t="str">
        <f>IF(ROUND(G304-Raw_Data!G313,2)=0,"OK","Corrected")</f>
        <v>OK</v>
      </c>
    </row>
    <row r="305" spans="1:15" x14ac:dyDescent="0.3">
      <c r="A305" s="24" t="str">
        <f>TRIM(Raw_Data!A314)</f>
        <v>AMZ-10285</v>
      </c>
      <c r="B305" s="25">
        <f>Raw_Data!B314</f>
        <v>46283</v>
      </c>
      <c r="C305" s="24" t="str">
        <f>PROPER(TRIM(Raw_Data!C314))</f>
        <v>Running Shoes</v>
      </c>
      <c r="D305" s="24" t="str">
        <f>TRIM(Raw_Data!D314)</f>
        <v>Footwear</v>
      </c>
      <c r="E305" s="26">
        <f>Raw_Data!E314</f>
        <v>3299</v>
      </c>
      <c r="F305" s="24">
        <f>Raw_Data!F314</f>
        <v>3</v>
      </c>
      <c r="G305" s="26">
        <f t="shared" si="16"/>
        <v>9897</v>
      </c>
      <c r="H305" s="24" t="str">
        <f>PROPER(TRIM(Raw_Data!H314))</f>
        <v>Tanvi Iyer</v>
      </c>
      <c r="I305" s="24" t="str">
        <f>PROPER(TRIM(Raw_Data!I314))</f>
        <v>Kolkata</v>
      </c>
      <c r="J305" s="24" t="str">
        <f>TRIM(Raw_Data!J314)</f>
        <v>Debit Card</v>
      </c>
      <c r="K305" s="24" t="str">
        <f>PROPER(TRIM(Raw_Data!K314))</f>
        <v>Delivered</v>
      </c>
      <c r="L305" s="24" t="str">
        <f t="shared" si="17"/>
        <v>Sep</v>
      </c>
      <c r="M305" s="24" t="str">
        <f t="shared" si="18"/>
        <v>Fri</v>
      </c>
      <c r="N305" s="24" t="str">
        <f t="shared" si="19"/>
        <v>Delivered</v>
      </c>
      <c r="O305" s="24" t="str">
        <f>IF(ROUND(G305-Raw_Data!G314,2)=0,"OK","Corrected")</f>
        <v>OK</v>
      </c>
    </row>
    <row r="306" spans="1:15" x14ac:dyDescent="0.3">
      <c r="A306" s="24" t="str">
        <f>TRIM(Raw_Data!A315)</f>
        <v>AMZ-10324</v>
      </c>
      <c r="B306" s="25">
        <f>Raw_Data!B315</f>
        <v>46283</v>
      </c>
      <c r="C306" s="24" t="str">
        <f>PROPER(TRIM(Raw_Data!C315))</f>
        <v>Water Bottle</v>
      </c>
      <c r="D306" s="24" t="str">
        <f>TRIM(Raw_Data!D315)</f>
        <v>Home &amp; Kitchen</v>
      </c>
      <c r="E306" s="26">
        <f>Raw_Data!E315</f>
        <v>499</v>
      </c>
      <c r="F306" s="24">
        <f>Raw_Data!F315</f>
        <v>1</v>
      </c>
      <c r="G306" s="26">
        <f t="shared" si="16"/>
        <v>499</v>
      </c>
      <c r="H306" s="24" t="str">
        <f>PROPER(TRIM(Raw_Data!H315))</f>
        <v>Meera Rao</v>
      </c>
      <c r="I306" s="24" t="str">
        <f>PROPER(TRIM(Raw_Data!I315))</f>
        <v>Delhi</v>
      </c>
      <c r="J306" s="24" t="str">
        <f>TRIM(Raw_Data!J315)</f>
        <v>Net Banking</v>
      </c>
      <c r="K306" s="24" t="str">
        <f>PROPER(TRIM(Raw_Data!K315))</f>
        <v>Cancelled</v>
      </c>
      <c r="L306" s="24" t="str">
        <f t="shared" si="17"/>
        <v>Sep</v>
      </c>
      <c r="M306" s="24" t="str">
        <f t="shared" si="18"/>
        <v>Fri</v>
      </c>
      <c r="N306" s="24" t="str">
        <f t="shared" si="19"/>
        <v>Cancelled</v>
      </c>
      <c r="O306" s="24" t="str">
        <f>IF(ROUND(G306-Raw_Data!G315,2)=0,"OK","Corrected")</f>
        <v>OK</v>
      </c>
    </row>
    <row r="307" spans="1:15" x14ac:dyDescent="0.3">
      <c r="A307" s="24" t="str">
        <f>TRIM(Raw_Data!A316)</f>
        <v>AMZ-10325</v>
      </c>
      <c r="B307" s="25">
        <f>Raw_Data!B316</f>
        <v>46283</v>
      </c>
      <c r="C307" s="24" t="str">
        <f>PROPER(TRIM(Raw_Data!C316))</f>
        <v>Power Bank</v>
      </c>
      <c r="D307" s="24" t="str">
        <f>TRIM(Raw_Data!D316)</f>
        <v>Electronics</v>
      </c>
      <c r="E307" s="26">
        <f>Raw_Data!E316</f>
        <v>1299</v>
      </c>
      <c r="F307" s="24">
        <f>Raw_Data!F316</f>
        <v>1</v>
      </c>
      <c r="G307" s="26">
        <f t="shared" si="16"/>
        <v>1299</v>
      </c>
      <c r="H307" s="24" t="str">
        <f>PROPER(TRIM(Raw_Data!H316))</f>
        <v>Sahil Sharma</v>
      </c>
      <c r="I307" s="24" t="str">
        <f>PROPER(TRIM(Raw_Data!I316))</f>
        <v>Ahmedabad</v>
      </c>
      <c r="J307" s="24" t="str">
        <f>TRIM(Raw_Data!J316)</f>
        <v>UPI</v>
      </c>
      <c r="K307" s="24" t="str">
        <f>PROPER(TRIM(Raw_Data!K316))</f>
        <v>Shipped</v>
      </c>
      <c r="L307" s="24" t="str">
        <f t="shared" si="17"/>
        <v>Sep</v>
      </c>
      <c r="M307" s="24" t="str">
        <f t="shared" si="18"/>
        <v>Fri</v>
      </c>
      <c r="N307" s="24" t="str">
        <f t="shared" si="19"/>
        <v>Pending</v>
      </c>
      <c r="O307" s="24" t="str">
        <f>IF(ROUND(G307-Raw_Data!G316,2)=0,"OK","Corrected")</f>
        <v>OK</v>
      </c>
    </row>
    <row r="308" spans="1:15" x14ac:dyDescent="0.3">
      <c r="A308" s="24" t="str">
        <f>TRIM(Raw_Data!A317)</f>
        <v>AMZ-10328</v>
      </c>
      <c r="B308" s="25">
        <f>Raw_Data!B317</f>
        <v>46283</v>
      </c>
      <c r="C308" s="24" t="str">
        <f>PROPER(TRIM(Raw_Data!C317))</f>
        <v>Bluetooth Speaker</v>
      </c>
      <c r="D308" s="24" t="str">
        <f>TRIM(Raw_Data!D317)</f>
        <v>Electronics</v>
      </c>
      <c r="E308" s="26">
        <f>Raw_Data!E317</f>
        <v>1999</v>
      </c>
      <c r="F308" s="24">
        <f>Raw_Data!F317</f>
        <v>1</v>
      </c>
      <c r="G308" s="26">
        <f t="shared" si="16"/>
        <v>1999</v>
      </c>
      <c r="H308" s="24" t="str">
        <f>PROPER(TRIM(Raw_Data!H317))</f>
        <v>Vivaan Sharma</v>
      </c>
      <c r="I308" s="24" t="str">
        <f>PROPER(TRIM(Raw_Data!I317))</f>
        <v>Mumbai</v>
      </c>
      <c r="J308" s="24" t="str">
        <f>TRIM(Raw_Data!J317)</f>
        <v>Debit Card</v>
      </c>
      <c r="K308" s="24" t="str">
        <f>PROPER(TRIM(Raw_Data!K317))</f>
        <v>Delivered</v>
      </c>
      <c r="L308" s="24" t="str">
        <f t="shared" si="17"/>
        <v>Sep</v>
      </c>
      <c r="M308" s="24" t="str">
        <f t="shared" si="18"/>
        <v>Fri</v>
      </c>
      <c r="N308" s="24" t="str">
        <f t="shared" si="19"/>
        <v>Delivered</v>
      </c>
      <c r="O308" s="24" t="str">
        <f>IF(ROUND(G308-Raw_Data!G317,2)=0,"OK","Corrected")</f>
        <v>OK</v>
      </c>
    </row>
    <row r="309" spans="1:15" x14ac:dyDescent="0.3">
      <c r="A309" s="24" t="str">
        <f>TRIM(Raw_Data!A318)</f>
        <v>AMZ-10374</v>
      </c>
      <c r="B309" s="25">
        <f>Raw_Data!B318</f>
        <v>46283</v>
      </c>
      <c r="C309" s="24" t="str">
        <f>PROPER(TRIM(Raw_Data!C318))</f>
        <v>Wireless Earbuds</v>
      </c>
      <c r="D309" s="24" t="str">
        <f>TRIM(Raw_Data!D318)</f>
        <v>Electronics</v>
      </c>
      <c r="E309" s="26">
        <f>Raw_Data!E318</f>
        <v>2499</v>
      </c>
      <c r="F309" s="24">
        <f>Raw_Data!F318</f>
        <v>1</v>
      </c>
      <c r="G309" s="26">
        <f t="shared" si="16"/>
        <v>2499</v>
      </c>
      <c r="H309" s="24" t="str">
        <f>PROPER(TRIM(Raw_Data!H318))</f>
        <v>Neha Patel</v>
      </c>
      <c r="I309" s="24" t="str">
        <f>PROPER(TRIM(Raw_Data!I318))</f>
        <v>Bangalore</v>
      </c>
      <c r="J309" s="24" t="str">
        <f>TRIM(Raw_Data!J318)</f>
        <v>Credit Card</v>
      </c>
      <c r="K309" s="24" t="str">
        <f>PROPER(TRIM(Raw_Data!K318))</f>
        <v>Delivered</v>
      </c>
      <c r="L309" s="24" t="str">
        <f t="shared" si="17"/>
        <v>Sep</v>
      </c>
      <c r="M309" s="24" t="str">
        <f t="shared" si="18"/>
        <v>Fri</v>
      </c>
      <c r="N309" s="24" t="str">
        <f t="shared" si="19"/>
        <v>Delivered</v>
      </c>
      <c r="O309" s="24" t="str">
        <f>IF(ROUND(G309-Raw_Data!G318,2)=0,"OK","Corrected")</f>
        <v>OK</v>
      </c>
    </row>
    <row r="310" spans="1:15" x14ac:dyDescent="0.3">
      <c r="A310" s="24" t="str">
        <f>TRIM(Raw_Data!A319)</f>
        <v>AMZ-10381</v>
      </c>
      <c r="B310" s="25">
        <f>Raw_Data!B319</f>
        <v>46283</v>
      </c>
      <c r="C310" s="24" t="str">
        <f>PROPER(TRIM(Raw_Data!C319))</f>
        <v>Running Shoes</v>
      </c>
      <c r="D310" s="24" t="str">
        <f>TRIM(Raw_Data!D319)</f>
        <v>Footwear</v>
      </c>
      <c r="E310" s="26">
        <f>Raw_Data!E319</f>
        <v>3299</v>
      </c>
      <c r="F310" s="24">
        <f>Raw_Data!F319</f>
        <v>1</v>
      </c>
      <c r="G310" s="26">
        <f t="shared" si="16"/>
        <v>3299</v>
      </c>
      <c r="H310" s="24" t="str">
        <f>PROPER(TRIM(Raw_Data!H319))</f>
        <v>Nikhil Patel</v>
      </c>
      <c r="I310" s="24" t="str">
        <f>PROPER(TRIM(Raw_Data!I319))</f>
        <v>Hyderabad</v>
      </c>
      <c r="J310" s="24" t="str">
        <f>TRIM(Raw_Data!J319)</f>
        <v>Debit Card</v>
      </c>
      <c r="K310" s="24" t="str">
        <f>PROPER(TRIM(Raw_Data!K319))</f>
        <v>Delivered</v>
      </c>
      <c r="L310" s="24" t="str">
        <f t="shared" si="17"/>
        <v>Sep</v>
      </c>
      <c r="M310" s="24" t="str">
        <f t="shared" si="18"/>
        <v>Fri</v>
      </c>
      <c r="N310" s="24" t="str">
        <f t="shared" si="19"/>
        <v>Delivered</v>
      </c>
      <c r="O310" s="24" t="str">
        <f>IF(ROUND(G310-Raw_Data!G319,2)=0,"OK","Corrected")</f>
        <v>OK</v>
      </c>
    </row>
    <row r="311" spans="1:15" x14ac:dyDescent="0.3">
      <c r="A311" s="24" t="str">
        <f>TRIM(Raw_Data!A320)</f>
        <v>AMZ-10441</v>
      </c>
      <c r="B311" s="25">
        <f>Raw_Data!B320</f>
        <v>46283</v>
      </c>
      <c r="C311" s="24" t="str">
        <f>PROPER(TRIM(Raw_Data!C320))</f>
        <v>Sandals</v>
      </c>
      <c r="D311" s="24" t="str">
        <f>TRIM(Raw_Data!D320)</f>
        <v>Footwear</v>
      </c>
      <c r="E311" s="26">
        <f>Raw_Data!E320</f>
        <v>899</v>
      </c>
      <c r="F311" s="24">
        <f>Raw_Data!F320</f>
        <v>1</v>
      </c>
      <c r="G311" s="26">
        <f t="shared" si="16"/>
        <v>899</v>
      </c>
      <c r="H311" s="24" t="str">
        <f>PROPER(TRIM(Raw_Data!H320))</f>
        <v>Meera Mehta</v>
      </c>
      <c r="I311" s="24" t="str">
        <f>PROPER(TRIM(Raw_Data!I320))</f>
        <v>Kolkata</v>
      </c>
      <c r="J311" s="24" t="str">
        <f>TRIM(Raw_Data!J320)</f>
        <v>Credit Card</v>
      </c>
      <c r="K311" s="24" t="str">
        <f>PROPER(TRIM(Raw_Data!K320))</f>
        <v>Delivered</v>
      </c>
      <c r="L311" s="24" t="str">
        <f t="shared" si="17"/>
        <v>Sep</v>
      </c>
      <c r="M311" s="24" t="str">
        <f t="shared" si="18"/>
        <v>Fri</v>
      </c>
      <c r="N311" s="24" t="str">
        <f t="shared" si="19"/>
        <v>Delivered</v>
      </c>
      <c r="O311" s="24" t="str">
        <f>IF(ROUND(G311-Raw_Data!G320,2)=0,"OK","Corrected")</f>
        <v>OK</v>
      </c>
    </row>
    <row r="312" spans="1:15" x14ac:dyDescent="0.3">
      <c r="A312" s="24" t="str">
        <f>TRIM(Raw_Data!A321)</f>
        <v>AMZ-10451</v>
      </c>
      <c r="B312" s="25">
        <f>Raw_Data!B321</f>
        <v>46283</v>
      </c>
      <c r="C312" s="24" t="str">
        <f>PROPER(TRIM(Raw_Data!C321))</f>
        <v>Water Bottle</v>
      </c>
      <c r="D312" s="24" t="str">
        <f>TRIM(Raw_Data!D321)</f>
        <v>Home &amp; Kitchen</v>
      </c>
      <c r="E312" s="26">
        <f>Raw_Data!E321</f>
        <v>499</v>
      </c>
      <c r="F312" s="24">
        <f>Raw_Data!F321</f>
        <v>2</v>
      </c>
      <c r="G312" s="26">
        <f t="shared" si="16"/>
        <v>998</v>
      </c>
      <c r="H312" s="24" t="str">
        <f>PROPER(TRIM(Raw_Data!H321))</f>
        <v>Arjun Joshi</v>
      </c>
      <c r="I312" s="24" t="str">
        <f>PROPER(TRIM(Raw_Data!I321))</f>
        <v>Bangalore</v>
      </c>
      <c r="J312" s="24" t="str">
        <f>TRIM(Raw_Data!J321)</f>
        <v>UPI</v>
      </c>
      <c r="K312" s="24" t="str">
        <f>PROPER(TRIM(Raw_Data!K321))</f>
        <v>Delivered</v>
      </c>
      <c r="L312" s="24" t="str">
        <f t="shared" si="17"/>
        <v>Sep</v>
      </c>
      <c r="M312" s="24" t="str">
        <f t="shared" si="18"/>
        <v>Fri</v>
      </c>
      <c r="N312" s="24" t="str">
        <f t="shared" si="19"/>
        <v>Delivered</v>
      </c>
      <c r="O312" s="24" t="str">
        <f>IF(ROUND(G312-Raw_Data!G321,2)=0,"OK","Corrected")</f>
        <v>OK</v>
      </c>
    </row>
    <row r="313" spans="1:15" x14ac:dyDescent="0.3">
      <c r="A313" s="24" t="str">
        <f>TRIM(Raw_Data!A322)</f>
        <v>AMZ-10453</v>
      </c>
      <c r="B313" s="25">
        <f>Raw_Data!B322</f>
        <v>46283</v>
      </c>
      <c r="C313" s="24" t="str">
        <f>PROPER(TRIM(Raw_Data!C322))</f>
        <v>Sandals</v>
      </c>
      <c r="D313" s="24" t="str">
        <f>TRIM(Raw_Data!D322)</f>
        <v>Footwear</v>
      </c>
      <c r="E313" s="26">
        <f>Raw_Data!E322</f>
        <v>899</v>
      </c>
      <c r="F313" s="24">
        <f>Raw_Data!F322</f>
        <v>1</v>
      </c>
      <c r="G313" s="26">
        <f t="shared" si="16"/>
        <v>899</v>
      </c>
      <c r="H313" s="24" t="str">
        <f>PROPER(TRIM(Raw_Data!H322))</f>
        <v>Neha Kulkarni</v>
      </c>
      <c r="I313" s="24" t="str">
        <f>PROPER(TRIM(Raw_Data!I322))</f>
        <v>Delhi</v>
      </c>
      <c r="J313" s="24" t="str">
        <f>TRIM(Raw_Data!J322)</f>
        <v>Credit Card</v>
      </c>
      <c r="K313" s="24" t="str">
        <f>PROPER(TRIM(Raw_Data!K322))</f>
        <v>Delivered</v>
      </c>
      <c r="L313" s="24" t="str">
        <f t="shared" si="17"/>
        <v>Sep</v>
      </c>
      <c r="M313" s="24" t="str">
        <f t="shared" si="18"/>
        <v>Fri</v>
      </c>
      <c r="N313" s="24" t="str">
        <f t="shared" si="19"/>
        <v>Delivered</v>
      </c>
      <c r="O313" s="24" t="str">
        <f>IF(ROUND(G313-Raw_Data!G322,2)=0,"OK","Corrected")</f>
        <v>OK</v>
      </c>
    </row>
    <row r="314" spans="1:15" x14ac:dyDescent="0.3">
      <c r="A314" s="24" t="str">
        <f>TRIM(Raw_Data!A323)</f>
        <v>AMZ-10457</v>
      </c>
      <c r="B314" s="25">
        <f>Raw_Data!B323</f>
        <v>46283</v>
      </c>
      <c r="C314" s="24" t="str">
        <f>PROPER(TRIM(Raw_Data!C323))</f>
        <v>Smart Watch</v>
      </c>
      <c r="D314" s="24" t="str">
        <f>TRIM(Raw_Data!D323)</f>
        <v>Electronics</v>
      </c>
      <c r="E314" s="26">
        <f>Raw_Data!E323</f>
        <v>4999</v>
      </c>
      <c r="F314" s="24">
        <f>Raw_Data!F323</f>
        <v>1</v>
      </c>
      <c r="G314" s="26">
        <f t="shared" si="16"/>
        <v>4999</v>
      </c>
      <c r="H314" s="24" t="str">
        <f>PROPER(TRIM(Raw_Data!H323))</f>
        <v>Tanvi Iyer</v>
      </c>
      <c r="I314" s="24" t="str">
        <f>PROPER(TRIM(Raw_Data!I323))</f>
        <v>Kolkata</v>
      </c>
      <c r="J314" s="24" t="str">
        <f>TRIM(Raw_Data!J323)</f>
        <v>Cash On Delivery</v>
      </c>
      <c r="K314" s="24" t="str">
        <f>PROPER(TRIM(Raw_Data!K323))</f>
        <v>Delivered</v>
      </c>
      <c r="L314" s="24" t="str">
        <f t="shared" si="17"/>
        <v>Sep</v>
      </c>
      <c r="M314" s="24" t="str">
        <f t="shared" si="18"/>
        <v>Fri</v>
      </c>
      <c r="N314" s="24" t="str">
        <f t="shared" si="19"/>
        <v>Delivered</v>
      </c>
      <c r="O314" s="24" t="str">
        <f>IF(ROUND(G314-Raw_Data!G323,2)=0,"OK","Corrected")</f>
        <v>OK</v>
      </c>
    </row>
    <row r="315" spans="1:15" x14ac:dyDescent="0.3">
      <c r="A315" s="24" t="str">
        <f>TRIM(Raw_Data!A324)</f>
        <v>AMZ-10463</v>
      </c>
      <c r="B315" s="25">
        <f>Raw_Data!B324</f>
        <v>46283</v>
      </c>
      <c r="C315" s="24" t="str">
        <f>PROPER(TRIM(Raw_Data!C324))</f>
        <v>Bluetooth Speaker</v>
      </c>
      <c r="D315" s="24" t="str">
        <f>TRIM(Raw_Data!D324)</f>
        <v>Electronics</v>
      </c>
      <c r="E315" s="26">
        <f>Raw_Data!E324</f>
        <v>1999</v>
      </c>
      <c r="F315" s="24">
        <f>Raw_Data!F324</f>
        <v>1</v>
      </c>
      <c r="G315" s="26">
        <f t="shared" si="16"/>
        <v>1999</v>
      </c>
      <c r="H315" s="24" t="str">
        <f>PROPER(TRIM(Raw_Data!H324))</f>
        <v>Meera Rao</v>
      </c>
      <c r="I315" s="24" t="str">
        <f>PROPER(TRIM(Raw_Data!I324))</f>
        <v>Delhi</v>
      </c>
      <c r="J315" s="24" t="str">
        <f>TRIM(Raw_Data!J324)</f>
        <v>UPI</v>
      </c>
      <c r="K315" s="24" t="str">
        <f>PROPER(TRIM(Raw_Data!K324))</f>
        <v>Delivered</v>
      </c>
      <c r="L315" s="24" t="str">
        <f t="shared" si="17"/>
        <v>Sep</v>
      </c>
      <c r="M315" s="24" t="str">
        <f t="shared" si="18"/>
        <v>Fri</v>
      </c>
      <c r="N315" s="24" t="str">
        <f t="shared" si="19"/>
        <v>Delivered</v>
      </c>
      <c r="O315" s="24" t="str">
        <f>IF(ROUND(G315-Raw_Data!G324,2)=0,"OK","Corrected")</f>
        <v>OK</v>
      </c>
    </row>
    <row r="316" spans="1:15" x14ac:dyDescent="0.3">
      <c r="A316" s="24" t="str">
        <f>TRIM(Raw_Data!A325)</f>
        <v>AMZ-10493</v>
      </c>
      <c r="B316" s="25">
        <f>Raw_Data!B325</f>
        <v>46283</v>
      </c>
      <c r="C316" s="24" t="str">
        <f>PROPER(TRIM(Raw_Data!C325))</f>
        <v>Cotton T-Shirt</v>
      </c>
      <c r="D316" s="24" t="str">
        <f>TRIM(Raw_Data!D325)</f>
        <v>Clothing</v>
      </c>
      <c r="E316" s="26">
        <f>Raw_Data!E325</f>
        <v>599</v>
      </c>
      <c r="F316" s="24">
        <f>Raw_Data!F325</f>
        <v>1</v>
      </c>
      <c r="G316" s="26">
        <f t="shared" si="16"/>
        <v>599</v>
      </c>
      <c r="H316" s="24" t="str">
        <f>PROPER(TRIM(Raw_Data!H325))</f>
        <v>Meera Singh</v>
      </c>
      <c r="I316" s="24" t="str">
        <f>PROPER(TRIM(Raw_Data!I325))</f>
        <v>Hyderabad</v>
      </c>
      <c r="J316" s="24" t="str">
        <f>TRIM(Raw_Data!J325)</f>
        <v>Debit Card</v>
      </c>
      <c r="K316" s="24" t="str">
        <f>PROPER(TRIM(Raw_Data!K325))</f>
        <v>Cancelled</v>
      </c>
      <c r="L316" s="24" t="str">
        <f t="shared" si="17"/>
        <v>Sep</v>
      </c>
      <c r="M316" s="24" t="str">
        <f t="shared" si="18"/>
        <v>Fri</v>
      </c>
      <c r="N316" s="24" t="str">
        <f t="shared" si="19"/>
        <v>Cancelled</v>
      </c>
      <c r="O316" s="24" t="str">
        <f>IF(ROUND(G316-Raw_Data!G325,2)=0,"OK","Corrected")</f>
        <v>OK</v>
      </c>
    </row>
    <row r="317" spans="1:15" x14ac:dyDescent="0.3">
      <c r="A317" s="24" t="str">
        <f>TRIM(Raw_Data!A326)</f>
        <v>AMZ-10018</v>
      </c>
      <c r="B317" s="25">
        <f>Raw_Data!B326</f>
        <v>46284</v>
      </c>
      <c r="C317" s="24" t="str">
        <f>PROPER(TRIM(Raw_Data!C326))</f>
        <v>Smart Watch</v>
      </c>
      <c r="D317" s="24" t="str">
        <f>TRIM(Raw_Data!D326)</f>
        <v>Electronics</v>
      </c>
      <c r="E317" s="26">
        <f>Raw_Data!E326</f>
        <v>4999</v>
      </c>
      <c r="F317" s="24">
        <f>Raw_Data!F326</f>
        <v>1</v>
      </c>
      <c r="G317" s="26">
        <f t="shared" si="16"/>
        <v>4999</v>
      </c>
      <c r="H317" s="24" t="str">
        <f>PROPER(TRIM(Raw_Data!H326))</f>
        <v>Aditya Kulkarni</v>
      </c>
      <c r="I317" s="24" t="str">
        <f>PROPER(TRIM(Raw_Data!I326))</f>
        <v>Bangalore</v>
      </c>
      <c r="J317" s="24" t="str">
        <f>TRIM(Raw_Data!J326)</f>
        <v>Debit Card</v>
      </c>
      <c r="K317" s="24" t="str">
        <f>PROPER(TRIM(Raw_Data!K326))</f>
        <v>Delivered</v>
      </c>
      <c r="L317" s="24" t="str">
        <f t="shared" si="17"/>
        <v>Sep</v>
      </c>
      <c r="M317" s="24" t="str">
        <f t="shared" si="18"/>
        <v>Sat</v>
      </c>
      <c r="N317" s="24" t="str">
        <f t="shared" si="19"/>
        <v>Delivered</v>
      </c>
      <c r="O317" s="24" t="str">
        <f>IF(ROUND(G317-Raw_Data!G326,2)=0,"OK","Corrected")</f>
        <v>OK</v>
      </c>
    </row>
    <row r="318" spans="1:15" x14ac:dyDescent="0.3">
      <c r="A318" s="24" t="str">
        <f>TRIM(Raw_Data!A327)</f>
        <v>AMZ-10021</v>
      </c>
      <c r="B318" s="25">
        <f>Raw_Data!B327</f>
        <v>46284</v>
      </c>
      <c r="C318" s="24" t="str">
        <f>PROPER(TRIM(Raw_Data!C327))</f>
        <v>Cotton T-Shirt</v>
      </c>
      <c r="D318" s="24" t="str">
        <f>TRIM(Raw_Data!D327)</f>
        <v>Clothing</v>
      </c>
      <c r="E318" s="26">
        <f>Raw_Data!E327</f>
        <v>599</v>
      </c>
      <c r="F318" s="24">
        <f>Raw_Data!F327</f>
        <v>1</v>
      </c>
      <c r="G318" s="26">
        <f t="shared" si="16"/>
        <v>599</v>
      </c>
      <c r="H318" s="24" t="str">
        <f>PROPER(TRIM(Raw_Data!H327))</f>
        <v>Vivaan Das</v>
      </c>
      <c r="I318" s="24" t="str">
        <f>PROPER(TRIM(Raw_Data!I327))</f>
        <v>Ahmedabad</v>
      </c>
      <c r="J318" s="24" t="str">
        <f>TRIM(Raw_Data!J327)</f>
        <v>UPI</v>
      </c>
      <c r="K318" s="24" t="str">
        <f>PROPER(TRIM(Raw_Data!K327))</f>
        <v>Delivered</v>
      </c>
      <c r="L318" s="24" t="str">
        <f t="shared" si="17"/>
        <v>Sep</v>
      </c>
      <c r="M318" s="24" t="str">
        <f t="shared" si="18"/>
        <v>Sat</v>
      </c>
      <c r="N318" s="24" t="str">
        <f t="shared" si="19"/>
        <v>Delivered</v>
      </c>
      <c r="O318" s="24" t="str">
        <f>IF(ROUND(G318-Raw_Data!G327,2)=0,"OK","Corrected")</f>
        <v>OK</v>
      </c>
    </row>
    <row r="319" spans="1:15" x14ac:dyDescent="0.3">
      <c r="A319" s="24" t="str">
        <f>TRIM(Raw_Data!A328)</f>
        <v>AMZ-10022</v>
      </c>
      <c r="B319" s="25">
        <f>Raw_Data!B328</f>
        <v>46284</v>
      </c>
      <c r="C319" s="24" t="str">
        <f>PROPER(TRIM(Raw_Data!C328))</f>
        <v>Water Bottle</v>
      </c>
      <c r="D319" s="24" t="str">
        <f>TRIM(Raw_Data!D328)</f>
        <v>Home &amp; Kitchen</v>
      </c>
      <c r="E319" s="26">
        <f>Raw_Data!E328</f>
        <v>499</v>
      </c>
      <c r="F319" s="24">
        <f>Raw_Data!F328</f>
        <v>1</v>
      </c>
      <c r="G319" s="26">
        <f t="shared" si="16"/>
        <v>499</v>
      </c>
      <c r="H319" s="24" t="str">
        <f>PROPER(TRIM(Raw_Data!H328))</f>
        <v>Priya Joshi</v>
      </c>
      <c r="I319" s="24" t="str">
        <f>PROPER(TRIM(Raw_Data!I328))</f>
        <v>Delhi</v>
      </c>
      <c r="J319" s="24" t="str">
        <f>TRIM(Raw_Data!J328)</f>
        <v>Credit Card</v>
      </c>
      <c r="K319" s="24" t="str">
        <f>PROPER(TRIM(Raw_Data!K328))</f>
        <v>Pending</v>
      </c>
      <c r="L319" s="24" t="str">
        <f t="shared" si="17"/>
        <v>Sep</v>
      </c>
      <c r="M319" s="24" t="str">
        <f t="shared" si="18"/>
        <v>Sat</v>
      </c>
      <c r="N319" s="24" t="str">
        <f t="shared" si="19"/>
        <v>Pending</v>
      </c>
      <c r="O319" s="24" t="str">
        <f>IF(ROUND(G319-Raw_Data!G328,2)=0,"OK","Corrected")</f>
        <v>OK</v>
      </c>
    </row>
    <row r="320" spans="1:15" x14ac:dyDescent="0.3">
      <c r="A320" s="24" t="str">
        <f>TRIM(Raw_Data!A329)</f>
        <v>AMZ-10034</v>
      </c>
      <c r="B320" s="25">
        <f>Raw_Data!B329</f>
        <v>46284</v>
      </c>
      <c r="C320" s="24" t="str">
        <f>PROPER(TRIM(Raw_Data!C329))</f>
        <v>Smart Watch</v>
      </c>
      <c r="D320" s="24" t="str">
        <f>TRIM(Raw_Data!D329)</f>
        <v>Electronics</v>
      </c>
      <c r="E320" s="26">
        <f>Raw_Data!E329</f>
        <v>4999</v>
      </c>
      <c r="F320" s="24">
        <f>Raw_Data!F329</f>
        <v>1</v>
      </c>
      <c r="G320" s="26">
        <f t="shared" si="16"/>
        <v>4999</v>
      </c>
      <c r="H320" s="24" t="str">
        <f>PROPER(TRIM(Raw_Data!H329))</f>
        <v>Meera Singh</v>
      </c>
      <c r="I320" s="24" t="str">
        <f>PROPER(TRIM(Raw_Data!I329))</f>
        <v>Hyderabad</v>
      </c>
      <c r="J320" s="24" t="str">
        <f>TRIM(Raw_Data!J329)</f>
        <v>Credit Card</v>
      </c>
      <c r="K320" s="24" t="str">
        <f>PROPER(TRIM(Raw_Data!K329))</f>
        <v>Delivered</v>
      </c>
      <c r="L320" s="24" t="str">
        <f t="shared" si="17"/>
        <v>Sep</v>
      </c>
      <c r="M320" s="24" t="str">
        <f t="shared" si="18"/>
        <v>Sat</v>
      </c>
      <c r="N320" s="24" t="str">
        <f t="shared" si="19"/>
        <v>Delivered</v>
      </c>
      <c r="O320" s="24" t="str">
        <f>IF(ROUND(G320-Raw_Data!G329,2)=0,"OK","Corrected")</f>
        <v>OK</v>
      </c>
    </row>
    <row r="321" spans="1:15" x14ac:dyDescent="0.3">
      <c r="A321" s="24" t="str">
        <f>TRIM(Raw_Data!A330)</f>
        <v>AMZ-10069</v>
      </c>
      <c r="B321" s="25">
        <f>Raw_Data!B330</f>
        <v>46284</v>
      </c>
      <c r="C321" s="24" t="str">
        <f>PROPER(TRIM(Raw_Data!C330))</f>
        <v>Water Bottle</v>
      </c>
      <c r="D321" s="24" t="str">
        <f>TRIM(Raw_Data!D330)</f>
        <v>Home &amp; Kitchen</v>
      </c>
      <c r="E321" s="26">
        <f>Raw_Data!E330</f>
        <v>499</v>
      </c>
      <c r="F321" s="24">
        <f>Raw_Data!F330</f>
        <v>3</v>
      </c>
      <c r="G321" s="26">
        <f t="shared" si="16"/>
        <v>1497</v>
      </c>
      <c r="H321" s="24" t="str">
        <f>PROPER(TRIM(Raw_Data!H330))</f>
        <v>Tanvi Gupta</v>
      </c>
      <c r="I321" s="24" t="str">
        <f>PROPER(TRIM(Raw_Data!I330))</f>
        <v>Hyderabad</v>
      </c>
      <c r="J321" s="24" t="str">
        <f>TRIM(Raw_Data!J330)</f>
        <v>Credit Card</v>
      </c>
      <c r="K321" s="24" t="str">
        <f>PROPER(TRIM(Raw_Data!K330))</f>
        <v>Delivered</v>
      </c>
      <c r="L321" s="24" t="str">
        <f t="shared" si="17"/>
        <v>Sep</v>
      </c>
      <c r="M321" s="24" t="str">
        <f t="shared" si="18"/>
        <v>Sat</v>
      </c>
      <c r="N321" s="24" t="str">
        <f t="shared" si="19"/>
        <v>Delivered</v>
      </c>
      <c r="O321" s="24" t="str">
        <f>IF(ROUND(G321-Raw_Data!G330,2)=0,"OK","Corrected")</f>
        <v>OK</v>
      </c>
    </row>
    <row r="322" spans="1:15" x14ac:dyDescent="0.3">
      <c r="A322" s="24" t="str">
        <f>TRIM(Raw_Data!A331)</f>
        <v>AMZ-10079</v>
      </c>
      <c r="B322" s="25">
        <f>Raw_Data!B331</f>
        <v>46284</v>
      </c>
      <c r="C322" s="24" t="str">
        <f>PROPER(TRIM(Raw_Data!C331))</f>
        <v>Power Bank</v>
      </c>
      <c r="D322" s="24" t="str">
        <f>TRIM(Raw_Data!D331)</f>
        <v>Electronics</v>
      </c>
      <c r="E322" s="26">
        <f>Raw_Data!E331</f>
        <v>1299</v>
      </c>
      <c r="F322" s="24">
        <f>Raw_Data!F331</f>
        <v>1</v>
      </c>
      <c r="G322" s="26">
        <f t="shared" ref="G322:G385" si="20">E322*F322</f>
        <v>1299</v>
      </c>
      <c r="H322" s="24" t="str">
        <f>PROPER(TRIM(Raw_Data!H331))</f>
        <v>Anjali Mehta</v>
      </c>
      <c r="I322" s="24" t="str">
        <f>PROPER(TRIM(Raw_Data!I331))</f>
        <v>Mumbai</v>
      </c>
      <c r="J322" s="24" t="str">
        <f>TRIM(Raw_Data!J331)</f>
        <v>Net Banking</v>
      </c>
      <c r="K322" s="24" t="str">
        <f>PROPER(TRIM(Raw_Data!K331))</f>
        <v>Delivered</v>
      </c>
      <c r="L322" s="24" t="str">
        <f t="shared" ref="L322:L385" si="21">TEXT(B322,"MMM")</f>
        <v>Sep</v>
      </c>
      <c r="M322" s="24" t="str">
        <f t="shared" ref="M322:M385" si="22">TEXT(B322,"ddd")</f>
        <v>Sat</v>
      </c>
      <c r="N322" s="24" t="str">
        <f t="shared" ref="N322:N385" si="23">IF(K322="Delivered","Delivered",IF(K322="Cancelled","Cancelled","Pending"))</f>
        <v>Delivered</v>
      </c>
      <c r="O322" s="24" t="str">
        <f>IF(ROUND(G322-Raw_Data!G331,2)=0,"OK","Corrected")</f>
        <v>OK</v>
      </c>
    </row>
    <row r="323" spans="1:15" x14ac:dyDescent="0.3">
      <c r="A323" s="24" t="str">
        <f>TRIM(Raw_Data!A332)</f>
        <v>AMZ-10084</v>
      </c>
      <c r="B323" s="25">
        <f>Raw_Data!B332</f>
        <v>46284</v>
      </c>
      <c r="C323" s="24" t="str">
        <f>PROPER(TRIM(Raw_Data!C332))</f>
        <v>Water Bottle</v>
      </c>
      <c r="D323" s="24" t="str">
        <f>TRIM(Raw_Data!D332)</f>
        <v>Home &amp; Kitchen</v>
      </c>
      <c r="E323" s="26">
        <f>Raw_Data!E332</f>
        <v>499</v>
      </c>
      <c r="F323" s="24">
        <f>Raw_Data!F332</f>
        <v>2</v>
      </c>
      <c r="G323" s="26">
        <f t="shared" si="20"/>
        <v>998</v>
      </c>
      <c r="H323" s="24" t="str">
        <f>PROPER(TRIM(Raw_Data!H332))</f>
        <v>Tanvi Joshi</v>
      </c>
      <c r="I323" s="24" t="str">
        <f>PROPER(TRIM(Raw_Data!I332))</f>
        <v>Bangalore</v>
      </c>
      <c r="J323" s="24" t="str">
        <f>TRIM(Raw_Data!J332)</f>
        <v>Cash On Delivery</v>
      </c>
      <c r="K323" s="24" t="str">
        <f>PROPER(TRIM(Raw_Data!K332))</f>
        <v>Delivered</v>
      </c>
      <c r="L323" s="24" t="str">
        <f t="shared" si="21"/>
        <v>Sep</v>
      </c>
      <c r="M323" s="24" t="str">
        <f t="shared" si="22"/>
        <v>Sat</v>
      </c>
      <c r="N323" s="24" t="str">
        <f t="shared" si="23"/>
        <v>Delivered</v>
      </c>
      <c r="O323" s="24" t="str">
        <f>IF(ROUND(G323-Raw_Data!G332,2)=0,"OK","Corrected")</f>
        <v>OK</v>
      </c>
    </row>
    <row r="324" spans="1:15" x14ac:dyDescent="0.3">
      <c r="A324" s="24" t="str">
        <f>TRIM(Raw_Data!A333)</f>
        <v>AMZ-10107</v>
      </c>
      <c r="B324" s="25">
        <f>Raw_Data!B333</f>
        <v>46284</v>
      </c>
      <c r="C324" s="24" t="str">
        <f>PROPER(TRIM(Raw_Data!C333))</f>
        <v>Cotton T-Shirt</v>
      </c>
      <c r="D324" s="24" t="str">
        <f>TRIM(Raw_Data!D333)</f>
        <v>Clothing</v>
      </c>
      <c r="E324" s="26">
        <f>Raw_Data!E333</f>
        <v>599</v>
      </c>
      <c r="F324" s="24">
        <f>Raw_Data!F333</f>
        <v>4</v>
      </c>
      <c r="G324" s="26">
        <f t="shared" si="20"/>
        <v>2396</v>
      </c>
      <c r="H324" s="24" t="str">
        <f>PROPER(TRIM(Raw_Data!H333))</f>
        <v>Kavya Patel</v>
      </c>
      <c r="I324" s="24" t="str">
        <f>PROPER(TRIM(Raw_Data!I333))</f>
        <v>Hyderabad</v>
      </c>
      <c r="J324" s="24" t="str">
        <f>TRIM(Raw_Data!J333)</f>
        <v>Debit Card</v>
      </c>
      <c r="K324" s="24" t="str">
        <f>PROPER(TRIM(Raw_Data!K333))</f>
        <v>Delivered</v>
      </c>
      <c r="L324" s="24" t="str">
        <f t="shared" si="21"/>
        <v>Sep</v>
      </c>
      <c r="M324" s="24" t="str">
        <f t="shared" si="22"/>
        <v>Sat</v>
      </c>
      <c r="N324" s="24" t="str">
        <f t="shared" si="23"/>
        <v>Delivered</v>
      </c>
      <c r="O324" s="24" t="str">
        <f>IF(ROUND(G324-Raw_Data!G333,2)=0,"OK","Corrected")</f>
        <v>OK</v>
      </c>
    </row>
    <row r="325" spans="1:15" x14ac:dyDescent="0.3">
      <c r="A325" s="24" t="str">
        <f>TRIM(Raw_Data!A334)</f>
        <v>AMZ-10117</v>
      </c>
      <c r="B325" s="25">
        <f>Raw_Data!B334</f>
        <v>46284</v>
      </c>
      <c r="C325" s="24" t="str">
        <f>PROPER(TRIM(Raw_Data!C334))</f>
        <v>Denim Jeans</v>
      </c>
      <c r="D325" s="24" t="str">
        <f>TRIM(Raw_Data!D334)</f>
        <v>Clothing</v>
      </c>
      <c r="E325" s="26">
        <f>Raw_Data!E334</f>
        <v>1799</v>
      </c>
      <c r="F325" s="24">
        <f>Raw_Data!F334</f>
        <v>2</v>
      </c>
      <c r="G325" s="26">
        <f t="shared" si="20"/>
        <v>3598</v>
      </c>
      <c r="H325" s="24" t="str">
        <f>PROPER(TRIM(Raw_Data!H334))</f>
        <v>Priya Iyer</v>
      </c>
      <c r="I325" s="24" t="str">
        <f>PROPER(TRIM(Raw_Data!I334))</f>
        <v>Delhi</v>
      </c>
      <c r="J325" s="24" t="str">
        <f>TRIM(Raw_Data!J334)</f>
        <v>Net Banking</v>
      </c>
      <c r="K325" s="24" t="str">
        <f>PROPER(TRIM(Raw_Data!K334))</f>
        <v>Shipped</v>
      </c>
      <c r="L325" s="24" t="str">
        <f t="shared" si="21"/>
        <v>Sep</v>
      </c>
      <c r="M325" s="24" t="str">
        <f t="shared" si="22"/>
        <v>Sat</v>
      </c>
      <c r="N325" s="24" t="str">
        <f t="shared" si="23"/>
        <v>Pending</v>
      </c>
      <c r="O325" s="24" t="str">
        <f>IF(ROUND(G325-Raw_Data!G334,2)=0,"OK","Corrected")</f>
        <v>OK</v>
      </c>
    </row>
    <row r="326" spans="1:15" x14ac:dyDescent="0.3">
      <c r="A326" s="24" t="str">
        <f>TRIM(Raw_Data!A335)</f>
        <v>AMZ-10119</v>
      </c>
      <c r="B326" s="25">
        <f>Raw_Data!B335</f>
        <v>46284</v>
      </c>
      <c r="C326" s="24" t="str">
        <f>PROPER(TRIM(Raw_Data!C335))</f>
        <v>Water Bottle</v>
      </c>
      <c r="D326" s="24" t="str">
        <f>TRIM(Raw_Data!D335)</f>
        <v>Home &amp; Kitchen</v>
      </c>
      <c r="E326" s="26">
        <f>Raw_Data!E335</f>
        <v>499</v>
      </c>
      <c r="F326" s="24">
        <f>Raw_Data!F335</f>
        <v>3</v>
      </c>
      <c r="G326" s="26">
        <f t="shared" si="20"/>
        <v>1497</v>
      </c>
      <c r="H326" s="24" t="str">
        <f>PROPER(TRIM(Raw_Data!H335))</f>
        <v>Arjun Joshi</v>
      </c>
      <c r="I326" s="24" t="str">
        <f>PROPER(TRIM(Raw_Data!I335))</f>
        <v>Bangalore</v>
      </c>
      <c r="J326" s="24" t="str">
        <f>TRIM(Raw_Data!J335)</f>
        <v>Credit Card</v>
      </c>
      <c r="K326" s="24" t="str">
        <f>PROPER(TRIM(Raw_Data!K335))</f>
        <v>Cancelled</v>
      </c>
      <c r="L326" s="24" t="str">
        <f t="shared" si="21"/>
        <v>Sep</v>
      </c>
      <c r="M326" s="24" t="str">
        <f t="shared" si="22"/>
        <v>Sat</v>
      </c>
      <c r="N326" s="24" t="str">
        <f t="shared" si="23"/>
        <v>Cancelled</v>
      </c>
      <c r="O326" s="24" t="str">
        <f>IF(ROUND(G326-Raw_Data!G335,2)=0,"OK","Corrected")</f>
        <v>OK</v>
      </c>
    </row>
    <row r="327" spans="1:15" x14ac:dyDescent="0.3">
      <c r="A327" s="24" t="str">
        <f>TRIM(Raw_Data!A336)</f>
        <v>AMZ-10193</v>
      </c>
      <c r="B327" s="25">
        <f>Raw_Data!B336</f>
        <v>46284</v>
      </c>
      <c r="C327" s="24" t="str">
        <f>PROPER(TRIM(Raw_Data!C336))</f>
        <v>Power Bank</v>
      </c>
      <c r="D327" s="24" t="str">
        <f>TRIM(Raw_Data!D336)</f>
        <v>Electronics</v>
      </c>
      <c r="E327" s="26">
        <f>Raw_Data!E336</f>
        <v>1299</v>
      </c>
      <c r="F327" s="24">
        <f>Raw_Data!F336</f>
        <v>1</v>
      </c>
      <c r="G327" s="26">
        <f t="shared" si="20"/>
        <v>1299</v>
      </c>
      <c r="H327" s="24" t="str">
        <f>PROPER(TRIM(Raw_Data!H336))</f>
        <v>Aditya Singh</v>
      </c>
      <c r="I327" s="24" t="str">
        <f>PROPER(TRIM(Raw_Data!I336))</f>
        <v>Delhi</v>
      </c>
      <c r="J327" s="24" t="str">
        <f>TRIM(Raw_Data!J336)</f>
        <v>Credit Card</v>
      </c>
      <c r="K327" s="24" t="str">
        <f>PROPER(TRIM(Raw_Data!K336))</f>
        <v>Delivered</v>
      </c>
      <c r="L327" s="24" t="str">
        <f t="shared" si="21"/>
        <v>Sep</v>
      </c>
      <c r="M327" s="24" t="str">
        <f t="shared" si="22"/>
        <v>Sat</v>
      </c>
      <c r="N327" s="24" t="str">
        <f t="shared" si="23"/>
        <v>Delivered</v>
      </c>
      <c r="O327" s="24" t="str">
        <f>IF(ROUND(G327-Raw_Data!G336,2)=0,"OK","Corrected")</f>
        <v>OK</v>
      </c>
    </row>
    <row r="328" spans="1:15" x14ac:dyDescent="0.3">
      <c r="A328" s="24" t="str">
        <f>TRIM(Raw_Data!A337)</f>
        <v>AMZ-10198</v>
      </c>
      <c r="B328" s="25">
        <f>Raw_Data!B337</f>
        <v>46284</v>
      </c>
      <c r="C328" s="24" t="str">
        <f>PROPER(TRIM(Raw_Data!C337))</f>
        <v>Running Shoes</v>
      </c>
      <c r="D328" s="24" t="str">
        <f>TRIM(Raw_Data!D337)</f>
        <v>Footwear</v>
      </c>
      <c r="E328" s="26">
        <f>Raw_Data!E337</f>
        <v>3299</v>
      </c>
      <c r="F328" s="24">
        <f>Raw_Data!F337</f>
        <v>1</v>
      </c>
      <c r="G328" s="26">
        <f t="shared" si="20"/>
        <v>3299</v>
      </c>
      <c r="H328" s="24" t="str">
        <f>PROPER(TRIM(Raw_Data!H337))</f>
        <v>Arjun Chopra</v>
      </c>
      <c r="I328" s="24" t="str">
        <f>PROPER(TRIM(Raw_Data!I337))</f>
        <v>Bangalore</v>
      </c>
      <c r="J328" s="24" t="str">
        <f>TRIM(Raw_Data!J337)</f>
        <v>Debit Card</v>
      </c>
      <c r="K328" s="24" t="str">
        <f>PROPER(TRIM(Raw_Data!K337))</f>
        <v>Delivered</v>
      </c>
      <c r="L328" s="24" t="str">
        <f t="shared" si="21"/>
        <v>Sep</v>
      </c>
      <c r="M328" s="24" t="str">
        <f t="shared" si="22"/>
        <v>Sat</v>
      </c>
      <c r="N328" s="24" t="str">
        <f t="shared" si="23"/>
        <v>Delivered</v>
      </c>
      <c r="O328" s="24" t="str">
        <f>IF(ROUND(G328-Raw_Data!G337,2)=0,"OK","Corrected")</f>
        <v>OK</v>
      </c>
    </row>
    <row r="329" spans="1:15" x14ac:dyDescent="0.3">
      <c r="A329" s="24" t="str">
        <f>TRIM(Raw_Data!A338)</f>
        <v>AMZ-10313</v>
      </c>
      <c r="B329" s="25">
        <f>Raw_Data!B338</f>
        <v>46284</v>
      </c>
      <c r="C329" s="24" t="str">
        <f>PROPER(TRIM(Raw_Data!C338))</f>
        <v>Running Shoes</v>
      </c>
      <c r="D329" s="24" t="str">
        <f>TRIM(Raw_Data!D338)</f>
        <v>Footwear</v>
      </c>
      <c r="E329" s="26">
        <f>Raw_Data!E338</f>
        <v>3299</v>
      </c>
      <c r="F329" s="24">
        <f>Raw_Data!F338</f>
        <v>1</v>
      </c>
      <c r="G329" s="26">
        <f t="shared" si="20"/>
        <v>3299</v>
      </c>
      <c r="H329" s="24" t="str">
        <f>PROPER(TRIM(Raw_Data!H338))</f>
        <v>Neha Patel</v>
      </c>
      <c r="I329" s="24" t="str">
        <f>PROPER(TRIM(Raw_Data!I338))</f>
        <v>Bangalore</v>
      </c>
      <c r="J329" s="24" t="str">
        <f>TRIM(Raw_Data!J338)</f>
        <v>UPI</v>
      </c>
      <c r="K329" s="24" t="str">
        <f>PROPER(TRIM(Raw_Data!K338))</f>
        <v>Pending</v>
      </c>
      <c r="L329" s="24" t="str">
        <f t="shared" si="21"/>
        <v>Sep</v>
      </c>
      <c r="M329" s="24" t="str">
        <f t="shared" si="22"/>
        <v>Sat</v>
      </c>
      <c r="N329" s="24" t="str">
        <f t="shared" si="23"/>
        <v>Pending</v>
      </c>
      <c r="O329" s="24" t="str">
        <f>IF(ROUND(G329-Raw_Data!G338,2)=0,"OK","Corrected")</f>
        <v>OK</v>
      </c>
    </row>
    <row r="330" spans="1:15" x14ac:dyDescent="0.3">
      <c r="A330" s="24" t="str">
        <f>TRIM(Raw_Data!A339)</f>
        <v>AMZ-10340</v>
      </c>
      <c r="B330" s="25">
        <f>Raw_Data!B339</f>
        <v>46284</v>
      </c>
      <c r="C330" s="24" t="str">
        <f>PROPER(TRIM(Raw_Data!C339))</f>
        <v>Wireless Earbuds</v>
      </c>
      <c r="D330" s="24" t="str">
        <f>TRIM(Raw_Data!D339)</f>
        <v>Electronics</v>
      </c>
      <c r="E330" s="26">
        <f>Raw_Data!E339</f>
        <v>2499</v>
      </c>
      <c r="F330" s="24">
        <f>Raw_Data!F339</f>
        <v>1</v>
      </c>
      <c r="G330" s="26">
        <f t="shared" si="20"/>
        <v>2499</v>
      </c>
      <c r="H330" s="24" t="str">
        <f>PROPER(TRIM(Raw_Data!H339))</f>
        <v>Kavya Gupta</v>
      </c>
      <c r="I330" s="24" t="str">
        <f>PROPER(TRIM(Raw_Data!I339))</f>
        <v>Hyderabad</v>
      </c>
      <c r="J330" s="24" t="str">
        <f>TRIM(Raw_Data!J339)</f>
        <v>Debit Card</v>
      </c>
      <c r="K330" s="24" t="str">
        <f>PROPER(TRIM(Raw_Data!K339))</f>
        <v>Delivered</v>
      </c>
      <c r="L330" s="24" t="str">
        <f t="shared" si="21"/>
        <v>Sep</v>
      </c>
      <c r="M330" s="24" t="str">
        <f t="shared" si="22"/>
        <v>Sat</v>
      </c>
      <c r="N330" s="24" t="str">
        <f t="shared" si="23"/>
        <v>Delivered</v>
      </c>
      <c r="O330" s="24" t="str">
        <f>IF(ROUND(G330-Raw_Data!G339,2)=0,"OK","Corrected")</f>
        <v>OK</v>
      </c>
    </row>
    <row r="331" spans="1:15" x14ac:dyDescent="0.3">
      <c r="A331" s="24" t="str">
        <f>TRIM(Raw_Data!A340)</f>
        <v>AMZ-10425</v>
      </c>
      <c r="B331" s="25">
        <f>Raw_Data!B340</f>
        <v>46284</v>
      </c>
      <c r="C331" s="24" t="str">
        <f>PROPER(TRIM(Raw_Data!C340))</f>
        <v>Running Shoes</v>
      </c>
      <c r="D331" s="24" t="str">
        <f>TRIM(Raw_Data!D340)</f>
        <v>Footwear</v>
      </c>
      <c r="E331" s="26">
        <f>Raw_Data!E340</f>
        <v>3299</v>
      </c>
      <c r="F331" s="24">
        <f>Raw_Data!F340</f>
        <v>3</v>
      </c>
      <c r="G331" s="26">
        <f t="shared" si="20"/>
        <v>9897</v>
      </c>
      <c r="H331" s="24" t="str">
        <f>PROPER(TRIM(Raw_Data!H340))</f>
        <v>Arjun Verma</v>
      </c>
      <c r="I331" s="24" t="str">
        <f>PROPER(TRIM(Raw_Data!I340))</f>
        <v>Pune</v>
      </c>
      <c r="J331" s="24" t="str">
        <f>TRIM(Raw_Data!J340)</f>
        <v>Net Banking</v>
      </c>
      <c r="K331" s="24" t="str">
        <f>PROPER(TRIM(Raw_Data!K340))</f>
        <v>Delivered</v>
      </c>
      <c r="L331" s="24" t="str">
        <f t="shared" si="21"/>
        <v>Sep</v>
      </c>
      <c r="M331" s="24" t="str">
        <f t="shared" si="22"/>
        <v>Sat</v>
      </c>
      <c r="N331" s="24" t="str">
        <f t="shared" si="23"/>
        <v>Delivered</v>
      </c>
      <c r="O331" s="24" t="str">
        <f>IF(ROUND(G331-Raw_Data!G340,2)=0,"OK","Corrected")</f>
        <v>OK</v>
      </c>
    </row>
    <row r="332" spans="1:15" x14ac:dyDescent="0.3">
      <c r="A332" s="24" t="str">
        <f>TRIM(Raw_Data!A341)</f>
        <v>AMZ-10443</v>
      </c>
      <c r="B332" s="25">
        <f>Raw_Data!B341</f>
        <v>46284</v>
      </c>
      <c r="C332" s="24" t="str">
        <f>PROPER(TRIM(Raw_Data!C341))</f>
        <v>Python Programming Book</v>
      </c>
      <c r="D332" s="24" t="str">
        <f>TRIM(Raw_Data!D341)</f>
        <v>Books</v>
      </c>
      <c r="E332" s="26">
        <f>Raw_Data!E341</f>
        <v>699</v>
      </c>
      <c r="F332" s="24">
        <f>Raw_Data!F341</f>
        <v>3</v>
      </c>
      <c r="G332" s="26">
        <f t="shared" si="20"/>
        <v>2097</v>
      </c>
      <c r="H332" s="24" t="str">
        <f>PROPER(TRIM(Raw_Data!H341))</f>
        <v>Nikhil Kulkarni</v>
      </c>
      <c r="I332" s="24" t="str">
        <f>PROPER(TRIM(Raw_Data!I341))</f>
        <v>Pune</v>
      </c>
      <c r="J332" s="24" t="str">
        <f>TRIM(Raw_Data!J341)</f>
        <v>Credit Card</v>
      </c>
      <c r="K332" s="24" t="str">
        <f>PROPER(TRIM(Raw_Data!K341))</f>
        <v>Delivered</v>
      </c>
      <c r="L332" s="24" t="str">
        <f t="shared" si="21"/>
        <v>Sep</v>
      </c>
      <c r="M332" s="24" t="str">
        <f t="shared" si="22"/>
        <v>Sat</v>
      </c>
      <c r="N332" s="24" t="str">
        <f t="shared" si="23"/>
        <v>Delivered</v>
      </c>
      <c r="O332" s="24" t="str">
        <f>IF(ROUND(G332-Raw_Data!G341,2)=0,"OK","Corrected")</f>
        <v>OK</v>
      </c>
    </row>
    <row r="333" spans="1:15" x14ac:dyDescent="0.3">
      <c r="A333" s="24" t="str">
        <f>TRIM(Raw_Data!A342)</f>
        <v>AMZ-10448</v>
      </c>
      <c r="B333" s="25">
        <f>Raw_Data!B342</f>
        <v>46284</v>
      </c>
      <c r="C333" s="24" t="str">
        <f>PROPER(TRIM(Raw_Data!C342))</f>
        <v>Python Programming Book</v>
      </c>
      <c r="D333" s="24" t="str">
        <f>TRIM(Raw_Data!D342)</f>
        <v>Books</v>
      </c>
      <c r="E333" s="26">
        <f>Raw_Data!E342</f>
        <v>699</v>
      </c>
      <c r="F333" s="24">
        <f>Raw_Data!F342</f>
        <v>1</v>
      </c>
      <c r="G333" s="26">
        <f t="shared" si="20"/>
        <v>699</v>
      </c>
      <c r="H333" s="24" t="str">
        <f>PROPER(TRIM(Raw_Data!H342))</f>
        <v>Priya Patel</v>
      </c>
      <c r="I333" s="24" t="str">
        <f>PROPER(TRIM(Raw_Data!I342))</f>
        <v>Pune</v>
      </c>
      <c r="J333" s="24" t="str">
        <f>TRIM(Raw_Data!J342)</f>
        <v>UPI</v>
      </c>
      <c r="K333" s="24" t="str">
        <f>PROPER(TRIM(Raw_Data!K342))</f>
        <v>Delivered</v>
      </c>
      <c r="L333" s="24" t="str">
        <f t="shared" si="21"/>
        <v>Sep</v>
      </c>
      <c r="M333" s="24" t="str">
        <f t="shared" si="22"/>
        <v>Sat</v>
      </c>
      <c r="N333" s="24" t="str">
        <f t="shared" si="23"/>
        <v>Delivered</v>
      </c>
      <c r="O333" s="24" t="str">
        <f>IF(ROUND(G333-Raw_Data!G342,2)=0,"OK","Corrected")</f>
        <v>OK</v>
      </c>
    </row>
    <row r="334" spans="1:15" x14ac:dyDescent="0.3">
      <c r="A334" s="24" t="str">
        <f>TRIM(Raw_Data!A343)</f>
        <v>AMZ-10464</v>
      </c>
      <c r="B334" s="25">
        <f>Raw_Data!B343</f>
        <v>46284</v>
      </c>
      <c r="C334" s="24" t="str">
        <f>PROPER(TRIM(Raw_Data!C343))</f>
        <v>Running Shoes</v>
      </c>
      <c r="D334" s="24" t="str">
        <f>TRIM(Raw_Data!D343)</f>
        <v>Footwear</v>
      </c>
      <c r="E334" s="26">
        <f>Raw_Data!E343</f>
        <v>3299</v>
      </c>
      <c r="F334" s="24">
        <f>Raw_Data!F343</f>
        <v>2</v>
      </c>
      <c r="G334" s="26">
        <f t="shared" si="20"/>
        <v>6598</v>
      </c>
      <c r="H334" s="24" t="str">
        <f>PROPER(TRIM(Raw_Data!H343))</f>
        <v>Kavya Gupta</v>
      </c>
      <c r="I334" s="24" t="str">
        <f>PROPER(TRIM(Raw_Data!I343))</f>
        <v>Hyderabad</v>
      </c>
      <c r="J334" s="24" t="str">
        <f>TRIM(Raw_Data!J343)</f>
        <v>UPI</v>
      </c>
      <c r="K334" s="24" t="str">
        <f>PROPER(TRIM(Raw_Data!K343))</f>
        <v>Cancelled</v>
      </c>
      <c r="L334" s="24" t="str">
        <f t="shared" si="21"/>
        <v>Sep</v>
      </c>
      <c r="M334" s="24" t="str">
        <f t="shared" si="22"/>
        <v>Sat</v>
      </c>
      <c r="N334" s="24" t="str">
        <f t="shared" si="23"/>
        <v>Cancelled</v>
      </c>
      <c r="O334" s="24" t="str">
        <f>IF(ROUND(G334-Raw_Data!G343,2)=0,"OK","Corrected")</f>
        <v>OK</v>
      </c>
    </row>
    <row r="335" spans="1:15" x14ac:dyDescent="0.3">
      <c r="A335" s="24" t="str">
        <f>TRIM(Raw_Data!A344)</f>
        <v>AMZ-10473</v>
      </c>
      <c r="B335" s="25">
        <f>Raw_Data!B344</f>
        <v>46284</v>
      </c>
      <c r="C335" s="24" t="str">
        <f>PROPER(TRIM(Raw_Data!C344))</f>
        <v>Running Shoes</v>
      </c>
      <c r="D335" s="24" t="str">
        <f>TRIM(Raw_Data!D344)</f>
        <v>Footwear</v>
      </c>
      <c r="E335" s="26">
        <f>Raw_Data!E344</f>
        <v>3299</v>
      </c>
      <c r="F335" s="24">
        <f>Raw_Data!F344</f>
        <v>1</v>
      </c>
      <c r="G335" s="26">
        <f t="shared" si="20"/>
        <v>3299</v>
      </c>
      <c r="H335" s="24" t="str">
        <f>PROPER(TRIM(Raw_Data!H344))</f>
        <v>Priya Das</v>
      </c>
      <c r="I335" s="24" t="str">
        <f>PROPER(TRIM(Raw_Data!I344))</f>
        <v>Hyderabad</v>
      </c>
      <c r="J335" s="24" t="str">
        <f>TRIM(Raw_Data!J344)</f>
        <v>UPI</v>
      </c>
      <c r="K335" s="24" t="str">
        <f>PROPER(TRIM(Raw_Data!K344))</f>
        <v>Cancelled</v>
      </c>
      <c r="L335" s="24" t="str">
        <f t="shared" si="21"/>
        <v>Sep</v>
      </c>
      <c r="M335" s="24" t="str">
        <f t="shared" si="22"/>
        <v>Sat</v>
      </c>
      <c r="N335" s="24" t="str">
        <f t="shared" si="23"/>
        <v>Cancelled</v>
      </c>
      <c r="O335" s="24" t="str">
        <f>IF(ROUND(G335-Raw_Data!G344,2)=0,"OK","Corrected")</f>
        <v>OK</v>
      </c>
    </row>
    <row r="336" spans="1:15" x14ac:dyDescent="0.3">
      <c r="A336" s="24" t="str">
        <f>TRIM(Raw_Data!A345)</f>
        <v>AMZ-10494</v>
      </c>
      <c r="B336" s="25">
        <f>Raw_Data!B345</f>
        <v>46284</v>
      </c>
      <c r="C336" s="24" t="str">
        <f>PROPER(TRIM(Raw_Data!C345))</f>
        <v>Denim Jeans</v>
      </c>
      <c r="D336" s="24" t="str">
        <f>TRIM(Raw_Data!D345)</f>
        <v>Clothing</v>
      </c>
      <c r="E336" s="26">
        <f>Raw_Data!E345</f>
        <v>1799</v>
      </c>
      <c r="F336" s="24">
        <f>Raw_Data!F345</f>
        <v>2</v>
      </c>
      <c r="G336" s="26">
        <f t="shared" si="20"/>
        <v>3598</v>
      </c>
      <c r="H336" s="24" t="str">
        <f>PROPER(TRIM(Raw_Data!H345))</f>
        <v>Aarav Joshi</v>
      </c>
      <c r="I336" s="24" t="str">
        <f>PROPER(TRIM(Raw_Data!I345))</f>
        <v>Pune</v>
      </c>
      <c r="J336" s="24" t="str">
        <f>TRIM(Raw_Data!J345)</f>
        <v>UPI</v>
      </c>
      <c r="K336" s="24" t="str">
        <f>PROPER(TRIM(Raw_Data!K345))</f>
        <v>Delivered</v>
      </c>
      <c r="L336" s="24" t="str">
        <f t="shared" si="21"/>
        <v>Sep</v>
      </c>
      <c r="M336" s="24" t="str">
        <f t="shared" si="22"/>
        <v>Sat</v>
      </c>
      <c r="N336" s="24" t="str">
        <f t="shared" si="23"/>
        <v>Delivered</v>
      </c>
      <c r="O336" s="24" t="str">
        <f>IF(ROUND(G336-Raw_Data!G345,2)=0,"OK","Corrected")</f>
        <v>OK</v>
      </c>
    </row>
    <row r="337" spans="1:15" x14ac:dyDescent="0.3">
      <c r="A337" s="24" t="str">
        <f>TRIM(Raw_Data!A346)</f>
        <v>AMZ-10498</v>
      </c>
      <c r="B337" s="25">
        <f>Raw_Data!B346</f>
        <v>46284</v>
      </c>
      <c r="C337" s="24" t="str">
        <f>PROPER(TRIM(Raw_Data!C346))</f>
        <v>Self Help Book</v>
      </c>
      <c r="D337" s="24" t="str">
        <f>TRIM(Raw_Data!D346)</f>
        <v>Books</v>
      </c>
      <c r="E337" s="26">
        <f>Raw_Data!E346</f>
        <v>399</v>
      </c>
      <c r="F337" s="24">
        <f>Raw_Data!F346</f>
        <v>1</v>
      </c>
      <c r="G337" s="26">
        <f t="shared" si="20"/>
        <v>399</v>
      </c>
      <c r="H337" s="24" t="str">
        <f>PROPER(TRIM(Raw_Data!H346))</f>
        <v>Neha Mehta</v>
      </c>
      <c r="I337" s="24" t="str">
        <f>PROPER(TRIM(Raw_Data!I346))</f>
        <v>Lucknow</v>
      </c>
      <c r="J337" s="24" t="str">
        <f>TRIM(Raw_Data!J346)</f>
        <v>Debit Card</v>
      </c>
      <c r="K337" s="24" t="str">
        <f>PROPER(TRIM(Raw_Data!K346))</f>
        <v>Cancelled</v>
      </c>
      <c r="L337" s="24" t="str">
        <f t="shared" si="21"/>
        <v>Sep</v>
      </c>
      <c r="M337" s="24" t="str">
        <f t="shared" si="22"/>
        <v>Sat</v>
      </c>
      <c r="N337" s="24" t="str">
        <f t="shared" si="23"/>
        <v>Cancelled</v>
      </c>
      <c r="O337" s="24" t="str">
        <f>IF(ROUND(G337-Raw_Data!G346,2)=0,"OK","Corrected")</f>
        <v>OK</v>
      </c>
    </row>
    <row r="338" spans="1:15" x14ac:dyDescent="0.3">
      <c r="A338" s="24" t="str">
        <f>TRIM(Raw_Data!A347)</f>
        <v>AMZ-10073</v>
      </c>
      <c r="B338" s="25">
        <f>Raw_Data!B347</f>
        <v>46285</v>
      </c>
      <c r="C338" s="24" t="str">
        <f>PROPER(TRIM(Raw_Data!C347))</f>
        <v>Bluetooth Speaker</v>
      </c>
      <c r="D338" s="24" t="str">
        <f>TRIM(Raw_Data!D347)</f>
        <v>Electronics</v>
      </c>
      <c r="E338" s="26">
        <f>Raw_Data!E347</f>
        <v>1999</v>
      </c>
      <c r="F338" s="24">
        <f>Raw_Data!F347</f>
        <v>1</v>
      </c>
      <c r="G338" s="26">
        <f t="shared" si="20"/>
        <v>1999</v>
      </c>
      <c r="H338" s="24" t="str">
        <f>PROPER(TRIM(Raw_Data!H347))</f>
        <v>Anjali Verma</v>
      </c>
      <c r="I338" s="24" t="str">
        <f>PROPER(TRIM(Raw_Data!I347))</f>
        <v>Mumbai</v>
      </c>
      <c r="J338" s="24" t="str">
        <f>TRIM(Raw_Data!J347)</f>
        <v>Credit Card</v>
      </c>
      <c r="K338" s="24" t="str">
        <f>PROPER(TRIM(Raw_Data!K347))</f>
        <v>Pending</v>
      </c>
      <c r="L338" s="24" t="str">
        <f t="shared" si="21"/>
        <v>Sep</v>
      </c>
      <c r="M338" s="24" t="str">
        <f t="shared" si="22"/>
        <v>Sun</v>
      </c>
      <c r="N338" s="24" t="str">
        <f t="shared" si="23"/>
        <v>Pending</v>
      </c>
      <c r="O338" s="24" t="str">
        <f>IF(ROUND(G338-Raw_Data!G347,2)=0,"OK","Corrected")</f>
        <v>OK</v>
      </c>
    </row>
    <row r="339" spans="1:15" x14ac:dyDescent="0.3">
      <c r="A339" s="24" t="str">
        <f>TRIM(Raw_Data!A349)</f>
        <v>AMZ-10080</v>
      </c>
      <c r="B339" s="25">
        <f>Raw_Data!B349</f>
        <v>46285</v>
      </c>
      <c r="C339" s="24" t="str">
        <f>PROPER(TRIM(Raw_Data!C349))</f>
        <v>Power Bank</v>
      </c>
      <c r="D339" s="24" t="str">
        <f>TRIM(Raw_Data!D349)</f>
        <v>Electronics</v>
      </c>
      <c r="E339" s="26">
        <f>Raw_Data!E349</f>
        <v>1299</v>
      </c>
      <c r="F339" s="24">
        <f>Raw_Data!F349</f>
        <v>1</v>
      </c>
      <c r="G339" s="26">
        <f t="shared" si="20"/>
        <v>1299</v>
      </c>
      <c r="H339" s="24" t="str">
        <f>PROPER(TRIM(Raw_Data!H349))</f>
        <v>Priya Khan</v>
      </c>
      <c r="I339" s="24" t="str">
        <f>PROPER(TRIM(Raw_Data!I349))</f>
        <v>Jaipur</v>
      </c>
      <c r="J339" s="24" t="str">
        <f>TRIM(Raw_Data!J349)</f>
        <v>Net Banking</v>
      </c>
      <c r="K339" s="24" t="str">
        <f>PROPER(TRIM(Raw_Data!K349))</f>
        <v>Delivered</v>
      </c>
      <c r="L339" s="24" t="str">
        <f t="shared" si="21"/>
        <v>Sep</v>
      </c>
      <c r="M339" s="24" t="str">
        <f t="shared" si="22"/>
        <v>Sun</v>
      </c>
      <c r="N339" s="24" t="str">
        <f t="shared" si="23"/>
        <v>Delivered</v>
      </c>
      <c r="O339" s="24" t="str">
        <f>IF(ROUND(G339-Raw_Data!G349,2)=0,"OK","Corrected")</f>
        <v>OK</v>
      </c>
    </row>
    <row r="340" spans="1:15" x14ac:dyDescent="0.3">
      <c r="A340" s="24" t="str">
        <f>TRIM(Raw_Data!A350)</f>
        <v>AMZ-10116</v>
      </c>
      <c r="B340" s="25">
        <f>Raw_Data!B350</f>
        <v>46285</v>
      </c>
      <c r="C340" s="24" t="str">
        <f>PROPER(TRIM(Raw_Data!C350))</f>
        <v>Wireless Earbuds</v>
      </c>
      <c r="D340" s="24" t="str">
        <f>TRIM(Raw_Data!D350)</f>
        <v>Electronics</v>
      </c>
      <c r="E340" s="26">
        <f>Raw_Data!E350</f>
        <v>2499</v>
      </c>
      <c r="F340" s="24">
        <f>Raw_Data!F350</f>
        <v>1</v>
      </c>
      <c r="G340" s="26">
        <f t="shared" si="20"/>
        <v>2499</v>
      </c>
      <c r="H340" s="24" t="str">
        <f>PROPER(TRIM(Raw_Data!H350))</f>
        <v>Kavya Rao</v>
      </c>
      <c r="I340" s="24" t="str">
        <f>PROPER(TRIM(Raw_Data!I350))</f>
        <v>Bangalore</v>
      </c>
      <c r="J340" s="24" t="str">
        <f>TRIM(Raw_Data!J350)</f>
        <v>UPI</v>
      </c>
      <c r="K340" s="24" t="str">
        <f>PROPER(TRIM(Raw_Data!K350))</f>
        <v>Delivered</v>
      </c>
      <c r="L340" s="24" t="str">
        <f t="shared" si="21"/>
        <v>Sep</v>
      </c>
      <c r="M340" s="24" t="str">
        <f t="shared" si="22"/>
        <v>Sun</v>
      </c>
      <c r="N340" s="24" t="str">
        <f t="shared" si="23"/>
        <v>Delivered</v>
      </c>
      <c r="O340" s="24" t="str">
        <f>IF(ROUND(G340-Raw_Data!G350,2)=0,"OK","Corrected")</f>
        <v>OK</v>
      </c>
    </row>
    <row r="341" spans="1:15" x14ac:dyDescent="0.3">
      <c r="A341" s="24" t="str">
        <f>TRIM(Raw_Data!A351)</f>
        <v>AMZ-10124</v>
      </c>
      <c r="B341" s="25">
        <f>Raw_Data!B351</f>
        <v>46285</v>
      </c>
      <c r="C341" s="24" t="str">
        <f>PROPER(TRIM(Raw_Data!C351))</f>
        <v>Casual Sneakers</v>
      </c>
      <c r="D341" s="24" t="str">
        <f>TRIM(Raw_Data!D351)</f>
        <v>Footwear</v>
      </c>
      <c r="E341" s="26">
        <f>Raw_Data!E351</f>
        <v>2199</v>
      </c>
      <c r="F341" s="24">
        <f>Raw_Data!F351</f>
        <v>1</v>
      </c>
      <c r="G341" s="26">
        <f t="shared" si="20"/>
        <v>2199</v>
      </c>
      <c r="H341" s="24" t="str">
        <f>PROPER(TRIM(Raw_Data!H351))</f>
        <v>Meera Singh</v>
      </c>
      <c r="I341" s="24" t="str">
        <f>PROPER(TRIM(Raw_Data!I351))</f>
        <v>Hyderabad</v>
      </c>
      <c r="J341" s="24" t="str">
        <f>TRIM(Raw_Data!J351)</f>
        <v>Debit Card</v>
      </c>
      <c r="K341" s="24" t="str">
        <f>PROPER(TRIM(Raw_Data!K351))</f>
        <v>Delivered</v>
      </c>
      <c r="L341" s="24" t="str">
        <f t="shared" si="21"/>
        <v>Sep</v>
      </c>
      <c r="M341" s="24" t="str">
        <f t="shared" si="22"/>
        <v>Sun</v>
      </c>
      <c r="N341" s="24" t="str">
        <f t="shared" si="23"/>
        <v>Delivered</v>
      </c>
      <c r="O341" s="24" t="str">
        <f>IF(ROUND(G341-Raw_Data!G351,2)=0,"OK","Corrected")</f>
        <v>OK</v>
      </c>
    </row>
    <row r="342" spans="1:15" x14ac:dyDescent="0.3">
      <c r="A342" s="24" t="str">
        <f>TRIM(Raw_Data!A352)</f>
        <v>AMZ-10126</v>
      </c>
      <c r="B342" s="25">
        <f>Raw_Data!B352</f>
        <v>46285</v>
      </c>
      <c r="C342" s="24" t="str">
        <f>PROPER(TRIM(Raw_Data!C352))</f>
        <v>Water Bottle</v>
      </c>
      <c r="D342" s="24" t="str">
        <f>TRIM(Raw_Data!D352)</f>
        <v>Home &amp; Kitchen</v>
      </c>
      <c r="E342" s="26">
        <f>Raw_Data!E352</f>
        <v>499</v>
      </c>
      <c r="F342" s="24">
        <f>Raw_Data!F352</f>
        <v>1</v>
      </c>
      <c r="G342" s="26">
        <f t="shared" si="20"/>
        <v>499</v>
      </c>
      <c r="H342" s="24" t="str">
        <f>PROPER(TRIM(Raw_Data!H352))</f>
        <v>Priya Reddy</v>
      </c>
      <c r="I342" s="24" t="str">
        <f>PROPER(TRIM(Raw_Data!I352))</f>
        <v>Mumbai</v>
      </c>
      <c r="J342" s="24" t="str">
        <f>TRIM(Raw_Data!J352)</f>
        <v>Cash On Delivery</v>
      </c>
      <c r="K342" s="24" t="str">
        <f>PROPER(TRIM(Raw_Data!K352))</f>
        <v>Delivered</v>
      </c>
      <c r="L342" s="24" t="str">
        <f t="shared" si="21"/>
        <v>Sep</v>
      </c>
      <c r="M342" s="24" t="str">
        <f t="shared" si="22"/>
        <v>Sun</v>
      </c>
      <c r="N342" s="24" t="str">
        <f t="shared" si="23"/>
        <v>Delivered</v>
      </c>
      <c r="O342" s="24" t="str">
        <f>IF(ROUND(G342-Raw_Data!G352,2)=0,"OK","Corrected")</f>
        <v>OK</v>
      </c>
    </row>
    <row r="343" spans="1:15" x14ac:dyDescent="0.3">
      <c r="A343" s="24" t="str">
        <f>TRIM(Raw_Data!A353)</f>
        <v>AMZ-10210</v>
      </c>
      <c r="B343" s="25">
        <f>Raw_Data!B353</f>
        <v>46285</v>
      </c>
      <c r="C343" s="24" t="str">
        <f>PROPER(TRIM(Raw_Data!C353))</f>
        <v>Wireless Earbuds</v>
      </c>
      <c r="D343" s="24" t="str">
        <f>TRIM(Raw_Data!D353)</f>
        <v>Electronics</v>
      </c>
      <c r="E343" s="26">
        <f>Raw_Data!E353</f>
        <v>2499</v>
      </c>
      <c r="F343" s="24">
        <f>Raw_Data!F353</f>
        <v>1</v>
      </c>
      <c r="G343" s="26">
        <f t="shared" si="20"/>
        <v>2499</v>
      </c>
      <c r="H343" s="24" t="str">
        <f>PROPER(TRIM(Raw_Data!H353))</f>
        <v>Tanvi Verma</v>
      </c>
      <c r="I343" s="24" t="str">
        <f>PROPER(TRIM(Raw_Data!I353))</f>
        <v>Kolkata</v>
      </c>
      <c r="J343" s="24" t="str">
        <f>TRIM(Raw_Data!J353)</f>
        <v>Credit Card</v>
      </c>
      <c r="K343" s="24" t="str">
        <f>PROPER(TRIM(Raw_Data!K353))</f>
        <v>Delivered</v>
      </c>
      <c r="L343" s="24" t="str">
        <f t="shared" si="21"/>
        <v>Sep</v>
      </c>
      <c r="M343" s="24" t="str">
        <f t="shared" si="22"/>
        <v>Sun</v>
      </c>
      <c r="N343" s="24" t="str">
        <f t="shared" si="23"/>
        <v>Delivered</v>
      </c>
      <c r="O343" s="24" t="str">
        <f>IF(ROUND(G343-Raw_Data!G353,2)=0,"OK","Corrected")</f>
        <v>OK</v>
      </c>
    </row>
    <row r="344" spans="1:15" x14ac:dyDescent="0.3">
      <c r="A344" s="24" t="str">
        <f>TRIM(Raw_Data!A355)</f>
        <v>AMZ-10225</v>
      </c>
      <c r="B344" s="25">
        <f>Raw_Data!B355</f>
        <v>46285</v>
      </c>
      <c r="C344" s="24" t="str">
        <f>PROPER(TRIM(Raw_Data!C355))</f>
        <v>Casual Sneakers</v>
      </c>
      <c r="D344" s="24" t="str">
        <f>TRIM(Raw_Data!D355)</f>
        <v>Footwear</v>
      </c>
      <c r="E344" s="26">
        <f>Raw_Data!E355</f>
        <v>2199</v>
      </c>
      <c r="F344" s="24">
        <f>Raw_Data!F355</f>
        <v>1</v>
      </c>
      <c r="G344" s="26">
        <f t="shared" si="20"/>
        <v>2199</v>
      </c>
      <c r="H344" s="24" t="str">
        <f>PROPER(TRIM(Raw_Data!H355))</f>
        <v>Pooja Iyer</v>
      </c>
      <c r="I344" s="24" t="str">
        <f>PROPER(TRIM(Raw_Data!I355))</f>
        <v>Mumbai</v>
      </c>
      <c r="J344" s="24" t="str">
        <f>TRIM(Raw_Data!J355)</f>
        <v>UPI</v>
      </c>
      <c r="K344" s="24" t="str">
        <f>PROPER(TRIM(Raw_Data!K355))</f>
        <v>Delivered</v>
      </c>
      <c r="L344" s="24" t="str">
        <f t="shared" si="21"/>
        <v>Sep</v>
      </c>
      <c r="M344" s="24" t="str">
        <f t="shared" si="22"/>
        <v>Sun</v>
      </c>
      <c r="N344" s="24" t="str">
        <f t="shared" si="23"/>
        <v>Delivered</v>
      </c>
      <c r="O344" s="24" t="str">
        <f>IF(ROUND(G344-Raw_Data!G355,2)=0,"OK","Corrected")</f>
        <v>OK</v>
      </c>
    </row>
    <row r="345" spans="1:15" x14ac:dyDescent="0.3">
      <c r="A345" s="24" t="str">
        <f>TRIM(Raw_Data!A356)</f>
        <v>AMZ-10228</v>
      </c>
      <c r="B345" s="25">
        <f>Raw_Data!B356</f>
        <v>46285</v>
      </c>
      <c r="C345" s="24" t="str">
        <f>PROPER(TRIM(Raw_Data!C356))</f>
        <v>Python Programming Book</v>
      </c>
      <c r="D345" s="24" t="str">
        <f>TRIM(Raw_Data!D356)</f>
        <v>Books</v>
      </c>
      <c r="E345" s="26">
        <f>Raw_Data!E356</f>
        <v>699</v>
      </c>
      <c r="F345" s="24">
        <f>Raw_Data!F356</f>
        <v>2</v>
      </c>
      <c r="G345" s="26">
        <f t="shared" si="20"/>
        <v>1398</v>
      </c>
      <c r="H345" s="24" t="str">
        <f>PROPER(TRIM(Raw_Data!H356))</f>
        <v>Vivaan Joshi</v>
      </c>
      <c r="I345" s="24" t="str">
        <f>PROPER(TRIM(Raw_Data!I356))</f>
        <v>Pune</v>
      </c>
      <c r="J345" s="24" t="str">
        <f>TRIM(Raw_Data!J356)</f>
        <v>Cash On Delivery</v>
      </c>
      <c r="K345" s="24" t="str">
        <f>PROPER(TRIM(Raw_Data!K356))</f>
        <v>Delivered</v>
      </c>
      <c r="L345" s="24" t="str">
        <f t="shared" si="21"/>
        <v>Sep</v>
      </c>
      <c r="M345" s="24" t="str">
        <f t="shared" si="22"/>
        <v>Sun</v>
      </c>
      <c r="N345" s="24" t="str">
        <f t="shared" si="23"/>
        <v>Delivered</v>
      </c>
      <c r="O345" s="24" t="str">
        <f>IF(ROUND(G345-Raw_Data!G356,2)=0,"OK","Corrected")</f>
        <v>OK</v>
      </c>
    </row>
    <row r="346" spans="1:15" x14ac:dyDescent="0.3">
      <c r="A346" s="24" t="str">
        <f>TRIM(Raw_Data!A357)</f>
        <v>AMZ-10253</v>
      </c>
      <c r="B346" s="25">
        <f>Raw_Data!B357</f>
        <v>46285</v>
      </c>
      <c r="C346" s="24" t="str">
        <f>PROPER(TRIM(Raw_Data!C357))</f>
        <v>Python Programming Book</v>
      </c>
      <c r="D346" s="24" t="str">
        <f>TRIM(Raw_Data!D357)</f>
        <v>Books</v>
      </c>
      <c r="E346" s="26">
        <f>Raw_Data!E357</f>
        <v>699</v>
      </c>
      <c r="F346" s="24">
        <f>Raw_Data!F357</f>
        <v>1</v>
      </c>
      <c r="G346" s="26">
        <f t="shared" si="20"/>
        <v>699</v>
      </c>
      <c r="H346" s="24" t="str">
        <f>PROPER(TRIM(Raw_Data!H357))</f>
        <v>Aarav Das</v>
      </c>
      <c r="I346" s="24" t="str">
        <f>PROPER(TRIM(Raw_Data!I357))</f>
        <v>Jaipur</v>
      </c>
      <c r="J346" s="24" t="str">
        <f>TRIM(Raw_Data!J357)</f>
        <v>UPI</v>
      </c>
      <c r="K346" s="24" t="str">
        <f>PROPER(TRIM(Raw_Data!K357))</f>
        <v>Delivered</v>
      </c>
      <c r="L346" s="24" t="str">
        <f t="shared" si="21"/>
        <v>Sep</v>
      </c>
      <c r="M346" s="24" t="str">
        <f t="shared" si="22"/>
        <v>Sun</v>
      </c>
      <c r="N346" s="24" t="str">
        <f t="shared" si="23"/>
        <v>Delivered</v>
      </c>
      <c r="O346" s="24" t="str">
        <f>IF(ROUND(G346-Raw_Data!G357,2)=0,"OK","Corrected")</f>
        <v>OK</v>
      </c>
    </row>
    <row r="347" spans="1:15" x14ac:dyDescent="0.3">
      <c r="A347" s="24" t="str">
        <f>TRIM(Raw_Data!A358)</f>
        <v>AMZ-10289</v>
      </c>
      <c r="B347" s="25">
        <f>Raw_Data!B358</f>
        <v>46285</v>
      </c>
      <c r="C347" s="24" t="str">
        <f>PROPER(TRIM(Raw_Data!C358))</f>
        <v>Air Fryer</v>
      </c>
      <c r="D347" s="24" t="str">
        <f>TRIM(Raw_Data!D358)</f>
        <v>Home &amp; Kitchen</v>
      </c>
      <c r="E347" s="26">
        <f>Raw_Data!E358</f>
        <v>5999</v>
      </c>
      <c r="F347" s="24">
        <f>Raw_Data!F358</f>
        <v>1</v>
      </c>
      <c r="G347" s="26">
        <f t="shared" si="20"/>
        <v>5999</v>
      </c>
      <c r="H347" s="24" t="str">
        <f>PROPER(TRIM(Raw_Data!H358))</f>
        <v>Kavya Patel</v>
      </c>
      <c r="I347" s="24" t="str">
        <f>PROPER(TRIM(Raw_Data!I358))</f>
        <v>Hyderabad</v>
      </c>
      <c r="J347" s="24" t="str">
        <f>TRIM(Raw_Data!J358)</f>
        <v>Credit Card</v>
      </c>
      <c r="K347" s="24" t="str">
        <f>PROPER(TRIM(Raw_Data!K358))</f>
        <v>Delivered</v>
      </c>
      <c r="L347" s="24" t="str">
        <f t="shared" si="21"/>
        <v>Sep</v>
      </c>
      <c r="M347" s="24" t="str">
        <f t="shared" si="22"/>
        <v>Sun</v>
      </c>
      <c r="N347" s="24" t="str">
        <f t="shared" si="23"/>
        <v>Delivered</v>
      </c>
      <c r="O347" s="24" t="str">
        <f>IF(ROUND(G347-Raw_Data!G358,2)=0,"OK","Corrected")</f>
        <v>OK</v>
      </c>
    </row>
    <row r="348" spans="1:15" x14ac:dyDescent="0.3">
      <c r="A348" s="24" t="str">
        <f>TRIM(Raw_Data!A359)</f>
        <v>AMZ-10322</v>
      </c>
      <c r="B348" s="25">
        <f>Raw_Data!B359</f>
        <v>46285</v>
      </c>
      <c r="C348" s="24" t="str">
        <f>PROPER(TRIM(Raw_Data!C359))</f>
        <v>Water Bottle</v>
      </c>
      <c r="D348" s="24" t="str">
        <f>TRIM(Raw_Data!D359)</f>
        <v>Home &amp; Kitchen</v>
      </c>
      <c r="E348" s="26">
        <f>Raw_Data!E359</f>
        <v>499</v>
      </c>
      <c r="F348" s="24">
        <f>Raw_Data!F359</f>
        <v>2</v>
      </c>
      <c r="G348" s="26">
        <f t="shared" si="20"/>
        <v>998</v>
      </c>
      <c r="H348" s="24" t="str">
        <f>PROPER(TRIM(Raw_Data!H359))</f>
        <v>Ishaan Singh</v>
      </c>
      <c r="I348" s="24" t="str">
        <f>PROPER(TRIM(Raw_Data!I359))</f>
        <v>Delhi</v>
      </c>
      <c r="J348" s="24" t="str">
        <f>TRIM(Raw_Data!J359)</f>
        <v>Credit Card</v>
      </c>
      <c r="K348" s="24" t="str">
        <f>PROPER(TRIM(Raw_Data!K359))</f>
        <v>Shipped</v>
      </c>
      <c r="L348" s="24" t="str">
        <f t="shared" si="21"/>
        <v>Sep</v>
      </c>
      <c r="M348" s="24" t="str">
        <f t="shared" si="22"/>
        <v>Sun</v>
      </c>
      <c r="N348" s="24" t="str">
        <f t="shared" si="23"/>
        <v>Pending</v>
      </c>
      <c r="O348" s="24" t="str">
        <f>IF(ROUND(G348-Raw_Data!G359,2)=0,"OK","Corrected")</f>
        <v>OK</v>
      </c>
    </row>
    <row r="349" spans="1:15" x14ac:dyDescent="0.3">
      <c r="A349" s="24" t="str">
        <f>TRIM(Raw_Data!A360)</f>
        <v>AMZ-10422</v>
      </c>
      <c r="B349" s="25">
        <f>Raw_Data!B360</f>
        <v>46285</v>
      </c>
      <c r="C349" s="24" t="str">
        <f>PROPER(TRIM(Raw_Data!C360))</f>
        <v>Denim Jeans</v>
      </c>
      <c r="D349" s="24" t="str">
        <f>TRIM(Raw_Data!D360)</f>
        <v>Clothing</v>
      </c>
      <c r="E349" s="26">
        <f>Raw_Data!E360</f>
        <v>1799</v>
      </c>
      <c r="F349" s="24">
        <f>Raw_Data!F360</f>
        <v>1</v>
      </c>
      <c r="G349" s="26">
        <f t="shared" si="20"/>
        <v>1799</v>
      </c>
      <c r="H349" s="24" t="str">
        <f>PROPER(TRIM(Raw_Data!H360))</f>
        <v>Kavya Rao</v>
      </c>
      <c r="I349" s="24" t="str">
        <f>PROPER(TRIM(Raw_Data!I360))</f>
        <v>Bangalore</v>
      </c>
      <c r="J349" s="24" t="str">
        <f>TRIM(Raw_Data!J360)</f>
        <v>Net Banking</v>
      </c>
      <c r="K349" s="24" t="str">
        <f>PROPER(TRIM(Raw_Data!K360))</f>
        <v>Delivered</v>
      </c>
      <c r="L349" s="24" t="str">
        <f t="shared" si="21"/>
        <v>Sep</v>
      </c>
      <c r="M349" s="24" t="str">
        <f t="shared" si="22"/>
        <v>Sun</v>
      </c>
      <c r="N349" s="24" t="str">
        <f t="shared" si="23"/>
        <v>Delivered</v>
      </c>
      <c r="O349" s="24" t="str">
        <f>IF(ROUND(G349-Raw_Data!G360,2)=0,"OK","Corrected")</f>
        <v>OK</v>
      </c>
    </row>
    <row r="350" spans="1:15" x14ac:dyDescent="0.3">
      <c r="A350" s="24" t="str">
        <f>TRIM(Raw_Data!A361)</f>
        <v>AMZ-10429</v>
      </c>
      <c r="B350" s="25">
        <f>Raw_Data!B361</f>
        <v>46285</v>
      </c>
      <c r="C350" s="24" t="str">
        <f>PROPER(TRIM(Raw_Data!C361))</f>
        <v>Casual Sneakers</v>
      </c>
      <c r="D350" s="24" t="str">
        <f>TRIM(Raw_Data!D361)</f>
        <v>Footwear</v>
      </c>
      <c r="E350" s="26">
        <f>Raw_Data!E361</f>
        <v>2199</v>
      </c>
      <c r="F350" s="24">
        <f>Raw_Data!F361</f>
        <v>1</v>
      </c>
      <c r="G350" s="26">
        <f t="shared" si="20"/>
        <v>2199</v>
      </c>
      <c r="H350" s="24" t="str">
        <f>PROPER(TRIM(Raw_Data!H361))</f>
        <v>Nikhil Kulkarni</v>
      </c>
      <c r="I350" s="24" t="str">
        <f>PROPER(TRIM(Raw_Data!I361))</f>
        <v>Pune</v>
      </c>
      <c r="J350" s="24" t="str">
        <f>TRIM(Raw_Data!J361)</f>
        <v>Credit Card</v>
      </c>
      <c r="K350" s="24" t="str">
        <f>PROPER(TRIM(Raw_Data!K361))</f>
        <v>Delivered</v>
      </c>
      <c r="L350" s="24" t="str">
        <f t="shared" si="21"/>
        <v>Sep</v>
      </c>
      <c r="M350" s="24" t="str">
        <f t="shared" si="22"/>
        <v>Sun</v>
      </c>
      <c r="N350" s="24" t="str">
        <f t="shared" si="23"/>
        <v>Delivered</v>
      </c>
      <c r="O350" s="24" t="str">
        <f>IF(ROUND(G350-Raw_Data!G361,2)=0,"OK","Corrected")</f>
        <v>OK</v>
      </c>
    </row>
    <row r="351" spans="1:15" x14ac:dyDescent="0.3">
      <c r="A351" s="24" t="str">
        <f>TRIM(Raw_Data!A362)</f>
        <v>AMZ-10431</v>
      </c>
      <c r="B351" s="25">
        <f>Raw_Data!B362</f>
        <v>46285</v>
      </c>
      <c r="C351" s="24" t="str">
        <f>PROPER(TRIM(Raw_Data!C362))</f>
        <v>Running Shoes</v>
      </c>
      <c r="D351" s="24" t="str">
        <f>TRIM(Raw_Data!D362)</f>
        <v>Footwear</v>
      </c>
      <c r="E351" s="26">
        <f>Raw_Data!E362</f>
        <v>3299</v>
      </c>
      <c r="F351" s="24">
        <f>Raw_Data!F362</f>
        <v>3</v>
      </c>
      <c r="G351" s="26">
        <f t="shared" si="20"/>
        <v>9897</v>
      </c>
      <c r="H351" s="24" t="str">
        <f>PROPER(TRIM(Raw_Data!H362))</f>
        <v>Priya Chopra</v>
      </c>
      <c r="I351" s="24" t="str">
        <f>PROPER(TRIM(Raw_Data!I362))</f>
        <v>Bangalore</v>
      </c>
      <c r="J351" s="24" t="str">
        <f>TRIM(Raw_Data!J362)</f>
        <v>Debit Card</v>
      </c>
      <c r="K351" s="24" t="str">
        <f>PROPER(TRIM(Raw_Data!K362))</f>
        <v>Delivered</v>
      </c>
      <c r="L351" s="24" t="str">
        <f t="shared" si="21"/>
        <v>Sep</v>
      </c>
      <c r="M351" s="24" t="str">
        <f t="shared" si="22"/>
        <v>Sun</v>
      </c>
      <c r="N351" s="24" t="str">
        <f t="shared" si="23"/>
        <v>Delivered</v>
      </c>
      <c r="O351" s="24" t="str">
        <f>IF(ROUND(G351-Raw_Data!G362,2)=0,"OK","Corrected")</f>
        <v>OK</v>
      </c>
    </row>
    <row r="352" spans="1:15" x14ac:dyDescent="0.3">
      <c r="A352" s="24" t="str">
        <f>TRIM(Raw_Data!A363)</f>
        <v>AMZ-10462</v>
      </c>
      <c r="B352" s="25">
        <f>Raw_Data!B363</f>
        <v>46285</v>
      </c>
      <c r="C352" s="24" t="str">
        <f>PROPER(TRIM(Raw_Data!C363))</f>
        <v>Python Programming Book</v>
      </c>
      <c r="D352" s="24" t="str">
        <f>TRIM(Raw_Data!D363)</f>
        <v>Books</v>
      </c>
      <c r="E352" s="26">
        <f>Raw_Data!E363</f>
        <v>699</v>
      </c>
      <c r="F352" s="24">
        <f>Raw_Data!F363</f>
        <v>2</v>
      </c>
      <c r="G352" s="26">
        <f t="shared" si="20"/>
        <v>1398</v>
      </c>
      <c r="H352" s="24" t="str">
        <f>PROPER(TRIM(Raw_Data!H363))</f>
        <v>Arjun Das</v>
      </c>
      <c r="I352" s="24" t="str">
        <f>PROPER(TRIM(Raw_Data!I363))</f>
        <v>Mumbai</v>
      </c>
      <c r="J352" s="24" t="str">
        <f>TRIM(Raw_Data!J363)</f>
        <v>UPI</v>
      </c>
      <c r="K352" s="24" t="str">
        <f>PROPER(TRIM(Raw_Data!K363))</f>
        <v>Delivered</v>
      </c>
      <c r="L352" s="24" t="str">
        <f t="shared" si="21"/>
        <v>Sep</v>
      </c>
      <c r="M352" s="24" t="str">
        <f t="shared" si="22"/>
        <v>Sun</v>
      </c>
      <c r="N352" s="24" t="str">
        <f t="shared" si="23"/>
        <v>Delivered</v>
      </c>
      <c r="O352" s="24" t="str">
        <f>IF(ROUND(G352-Raw_Data!G363,2)=0,"OK","Corrected")</f>
        <v>OK</v>
      </c>
    </row>
    <row r="353" spans="1:15" x14ac:dyDescent="0.3">
      <c r="A353" s="24" t="str">
        <f>TRIM(Raw_Data!A364)</f>
        <v>AMZ-10488</v>
      </c>
      <c r="B353" s="25">
        <f>Raw_Data!B364</f>
        <v>46285</v>
      </c>
      <c r="C353" s="24" t="str">
        <f>PROPER(TRIM(Raw_Data!C364))</f>
        <v>Water Bottle</v>
      </c>
      <c r="D353" s="24" t="str">
        <f>TRIM(Raw_Data!D364)</f>
        <v>Home &amp; Kitchen</v>
      </c>
      <c r="E353" s="26">
        <f>Raw_Data!E364</f>
        <v>499</v>
      </c>
      <c r="F353" s="24">
        <f>Raw_Data!F364</f>
        <v>1</v>
      </c>
      <c r="G353" s="26">
        <f t="shared" si="20"/>
        <v>499</v>
      </c>
      <c r="H353" s="24" t="str">
        <f>PROPER(TRIM(Raw_Data!H364))</f>
        <v>Priya Khan</v>
      </c>
      <c r="I353" s="24" t="str">
        <f>PROPER(TRIM(Raw_Data!I364))</f>
        <v>Jaipur</v>
      </c>
      <c r="J353" s="24" t="str">
        <f>TRIM(Raw_Data!J364)</f>
        <v>Debit Card</v>
      </c>
      <c r="K353" s="24" t="str">
        <f>PROPER(TRIM(Raw_Data!K364))</f>
        <v>Delivered</v>
      </c>
      <c r="L353" s="24" t="str">
        <f t="shared" si="21"/>
        <v>Sep</v>
      </c>
      <c r="M353" s="24" t="str">
        <f t="shared" si="22"/>
        <v>Sun</v>
      </c>
      <c r="N353" s="24" t="str">
        <f t="shared" si="23"/>
        <v>Delivered</v>
      </c>
      <c r="O353" s="24" t="str">
        <f>IF(ROUND(G353-Raw_Data!G364,2)=0,"OK","Corrected")</f>
        <v>OK</v>
      </c>
    </row>
    <row r="354" spans="1:15" x14ac:dyDescent="0.3">
      <c r="A354" s="24" t="str">
        <f>TRIM(Raw_Data!A365)</f>
        <v>AMZ-10031</v>
      </c>
      <c r="B354" s="25">
        <f>Raw_Data!B365</f>
        <v>46286</v>
      </c>
      <c r="C354" s="24" t="str">
        <f>PROPER(TRIM(Raw_Data!C365))</f>
        <v>Cotton T-Shirt</v>
      </c>
      <c r="D354" s="24" t="str">
        <f>TRIM(Raw_Data!D365)</f>
        <v>Clothing</v>
      </c>
      <c r="E354" s="26">
        <f>Raw_Data!E365</f>
        <v>599</v>
      </c>
      <c r="F354" s="24">
        <f>Raw_Data!F365</f>
        <v>2</v>
      </c>
      <c r="G354" s="26">
        <f t="shared" si="20"/>
        <v>1198</v>
      </c>
      <c r="H354" s="24" t="str">
        <f>PROPER(TRIM(Raw_Data!H365))</f>
        <v>Aditya Sharma</v>
      </c>
      <c r="I354" s="24" t="str">
        <f>PROPER(TRIM(Raw_Data!I365))</f>
        <v>Ahmedabad</v>
      </c>
      <c r="J354" s="24" t="str">
        <f>TRIM(Raw_Data!J365)</f>
        <v>Credit Card</v>
      </c>
      <c r="K354" s="24" t="str">
        <f>PROPER(TRIM(Raw_Data!K365))</f>
        <v>Delivered</v>
      </c>
      <c r="L354" s="24" t="str">
        <f t="shared" si="21"/>
        <v>Sep</v>
      </c>
      <c r="M354" s="24" t="str">
        <f t="shared" si="22"/>
        <v>Mon</v>
      </c>
      <c r="N354" s="24" t="str">
        <f t="shared" si="23"/>
        <v>Delivered</v>
      </c>
      <c r="O354" s="24" t="str">
        <f>IF(ROUND(G354-Raw_Data!G365,2)=0,"OK","Corrected")</f>
        <v>OK</v>
      </c>
    </row>
    <row r="355" spans="1:15" x14ac:dyDescent="0.3">
      <c r="A355" s="24" t="str">
        <f>TRIM(Raw_Data!A366)</f>
        <v>AMZ-10043</v>
      </c>
      <c r="B355" s="25">
        <f>Raw_Data!B366</f>
        <v>46286</v>
      </c>
      <c r="C355" s="24" t="str">
        <f>PROPER(TRIM(Raw_Data!C366))</f>
        <v>Wireless Earbuds</v>
      </c>
      <c r="D355" s="24" t="str">
        <f>TRIM(Raw_Data!D366)</f>
        <v>Electronics</v>
      </c>
      <c r="E355" s="26">
        <f>Raw_Data!E366</f>
        <v>2499</v>
      </c>
      <c r="F355" s="24">
        <f>Raw_Data!F366</f>
        <v>2</v>
      </c>
      <c r="G355" s="26">
        <f t="shared" si="20"/>
        <v>4998</v>
      </c>
      <c r="H355" s="24" t="str">
        <f>PROPER(TRIM(Raw_Data!H366))</f>
        <v>Meera Rao</v>
      </c>
      <c r="I355" s="24" t="str">
        <f>PROPER(TRIM(Raw_Data!I366))</f>
        <v>Delhi</v>
      </c>
      <c r="J355" s="24" t="str">
        <f>TRIM(Raw_Data!J366)</f>
        <v>Credit Card</v>
      </c>
      <c r="K355" s="24" t="str">
        <f>PROPER(TRIM(Raw_Data!K366))</f>
        <v>Delivered</v>
      </c>
      <c r="L355" s="24" t="str">
        <f t="shared" si="21"/>
        <v>Sep</v>
      </c>
      <c r="M355" s="24" t="str">
        <f t="shared" si="22"/>
        <v>Mon</v>
      </c>
      <c r="N355" s="24" t="str">
        <f t="shared" si="23"/>
        <v>Delivered</v>
      </c>
      <c r="O355" s="24" t="str">
        <f>IF(ROUND(G355-Raw_Data!G366,2)=0,"OK","Corrected")</f>
        <v>OK</v>
      </c>
    </row>
    <row r="356" spans="1:15" x14ac:dyDescent="0.3">
      <c r="A356" s="24" t="str">
        <f>TRIM(Raw_Data!A367)</f>
        <v>AMZ-10074</v>
      </c>
      <c r="B356" s="25">
        <f>Raw_Data!B367</f>
        <v>46286</v>
      </c>
      <c r="C356" s="24" t="str">
        <f>PROPER(TRIM(Raw_Data!C367))</f>
        <v>Mixer Grinder</v>
      </c>
      <c r="D356" s="24" t="str">
        <f>TRIM(Raw_Data!D367)</f>
        <v>Home &amp; Kitchen</v>
      </c>
      <c r="E356" s="26">
        <f>Raw_Data!E367</f>
        <v>3499</v>
      </c>
      <c r="F356" s="24">
        <f>Raw_Data!F367</f>
        <v>2</v>
      </c>
      <c r="G356" s="26">
        <f t="shared" si="20"/>
        <v>6998</v>
      </c>
      <c r="H356" s="24" t="str">
        <f>PROPER(TRIM(Raw_Data!H367))</f>
        <v>Aditya Sharma</v>
      </c>
      <c r="I356" s="24" t="str">
        <f>PROPER(TRIM(Raw_Data!I367))</f>
        <v>Ahmedabad</v>
      </c>
      <c r="J356" s="24" t="str">
        <f>TRIM(Raw_Data!J367)</f>
        <v>Credit Card</v>
      </c>
      <c r="K356" s="24" t="str">
        <f>PROPER(TRIM(Raw_Data!K367))</f>
        <v>Cancelled</v>
      </c>
      <c r="L356" s="24" t="str">
        <f t="shared" si="21"/>
        <v>Sep</v>
      </c>
      <c r="M356" s="24" t="str">
        <f t="shared" si="22"/>
        <v>Mon</v>
      </c>
      <c r="N356" s="24" t="str">
        <f t="shared" si="23"/>
        <v>Cancelled</v>
      </c>
      <c r="O356" s="24" t="str">
        <f>IF(ROUND(G356-Raw_Data!G367,2)=0,"OK","Corrected")</f>
        <v>OK</v>
      </c>
    </row>
    <row r="357" spans="1:15" x14ac:dyDescent="0.3">
      <c r="A357" s="24" t="str">
        <f>TRIM(Raw_Data!A368)</f>
        <v>AMZ-10085</v>
      </c>
      <c r="B357" s="25">
        <f>Raw_Data!B368</f>
        <v>46286</v>
      </c>
      <c r="C357" s="24" t="str">
        <f>PROPER(TRIM(Raw_Data!C368))</f>
        <v>Casual Sneakers</v>
      </c>
      <c r="D357" s="24" t="str">
        <f>TRIM(Raw_Data!D368)</f>
        <v>Footwear</v>
      </c>
      <c r="E357" s="26">
        <f>Raw_Data!E368</f>
        <v>2199</v>
      </c>
      <c r="F357" s="24">
        <f>Raw_Data!F368</f>
        <v>1</v>
      </c>
      <c r="G357" s="26">
        <f t="shared" si="20"/>
        <v>2199</v>
      </c>
      <c r="H357" s="24" t="str">
        <f>PROPER(TRIM(Raw_Data!H368))</f>
        <v>Pooja Gupta</v>
      </c>
      <c r="I357" s="24" t="str">
        <f>PROPER(TRIM(Raw_Data!I368))</f>
        <v>Bangalore</v>
      </c>
      <c r="J357" s="24" t="str">
        <f>TRIM(Raw_Data!J368)</f>
        <v>UPI</v>
      </c>
      <c r="K357" s="24" t="str">
        <f>PROPER(TRIM(Raw_Data!K368))</f>
        <v>Cancelled</v>
      </c>
      <c r="L357" s="24" t="str">
        <f t="shared" si="21"/>
        <v>Sep</v>
      </c>
      <c r="M357" s="24" t="str">
        <f t="shared" si="22"/>
        <v>Mon</v>
      </c>
      <c r="N357" s="24" t="str">
        <f t="shared" si="23"/>
        <v>Cancelled</v>
      </c>
      <c r="O357" s="24" t="str">
        <f>IF(ROUND(G357-Raw_Data!G368,2)=0,"OK","Corrected")</f>
        <v>OK</v>
      </c>
    </row>
    <row r="358" spans="1:15" x14ac:dyDescent="0.3">
      <c r="A358" s="24" t="str">
        <f>TRIM(Raw_Data!A369)</f>
        <v>AMZ-10086</v>
      </c>
      <c r="B358" s="25">
        <f>Raw_Data!B369</f>
        <v>46286</v>
      </c>
      <c r="C358" s="24" t="str">
        <f>PROPER(TRIM(Raw_Data!C369))</f>
        <v>Self Help Book</v>
      </c>
      <c r="D358" s="24" t="str">
        <f>TRIM(Raw_Data!D369)</f>
        <v>Books</v>
      </c>
      <c r="E358" s="26">
        <f>Raw_Data!E369</f>
        <v>399</v>
      </c>
      <c r="F358" s="24">
        <f>Raw_Data!F369</f>
        <v>1</v>
      </c>
      <c r="G358" s="26">
        <f t="shared" si="20"/>
        <v>399</v>
      </c>
      <c r="H358" s="24" t="str">
        <f>PROPER(TRIM(Raw_Data!H369))</f>
        <v>Meera Singh</v>
      </c>
      <c r="I358" s="24" t="str">
        <f>PROPER(TRIM(Raw_Data!I369))</f>
        <v>Hyderabad</v>
      </c>
      <c r="J358" s="24" t="str">
        <f>TRIM(Raw_Data!J369)</f>
        <v>Cash On Delivery</v>
      </c>
      <c r="K358" s="24" t="str">
        <f>PROPER(TRIM(Raw_Data!K369))</f>
        <v>Delivered</v>
      </c>
      <c r="L358" s="24" t="str">
        <f t="shared" si="21"/>
        <v>Sep</v>
      </c>
      <c r="M358" s="24" t="str">
        <f t="shared" si="22"/>
        <v>Mon</v>
      </c>
      <c r="N358" s="24" t="str">
        <f t="shared" si="23"/>
        <v>Delivered</v>
      </c>
      <c r="O358" s="24" t="str">
        <f>IF(ROUND(G358-Raw_Data!G369,2)=0,"OK","Corrected")</f>
        <v>OK</v>
      </c>
    </row>
    <row r="359" spans="1:15" x14ac:dyDescent="0.3">
      <c r="A359" s="24" t="str">
        <f>TRIM(Raw_Data!A370)</f>
        <v>AMZ-10087</v>
      </c>
      <c r="B359" s="25">
        <f>Raw_Data!B370</f>
        <v>46286</v>
      </c>
      <c r="C359" s="24" t="str">
        <f>PROPER(TRIM(Raw_Data!C370))</f>
        <v>Smart Watch</v>
      </c>
      <c r="D359" s="24" t="str">
        <f>TRIM(Raw_Data!D370)</f>
        <v>Electronics</v>
      </c>
      <c r="E359" s="26">
        <f>Raw_Data!E370</f>
        <v>4999</v>
      </c>
      <c r="F359" s="24">
        <f>Raw_Data!F370</f>
        <v>1</v>
      </c>
      <c r="G359" s="26">
        <f t="shared" si="20"/>
        <v>4999</v>
      </c>
      <c r="H359" s="24" t="str">
        <f>PROPER(TRIM(Raw_Data!H370))</f>
        <v>Pooja Iyer</v>
      </c>
      <c r="I359" s="24" t="str">
        <f>PROPER(TRIM(Raw_Data!I370))</f>
        <v>Mumbai</v>
      </c>
      <c r="J359" s="24" t="str">
        <f>TRIM(Raw_Data!J370)</f>
        <v>UPI</v>
      </c>
      <c r="K359" s="24" t="str">
        <f>PROPER(TRIM(Raw_Data!K370))</f>
        <v>Cancelled</v>
      </c>
      <c r="L359" s="24" t="str">
        <f t="shared" si="21"/>
        <v>Sep</v>
      </c>
      <c r="M359" s="24" t="str">
        <f t="shared" si="22"/>
        <v>Mon</v>
      </c>
      <c r="N359" s="24" t="str">
        <f t="shared" si="23"/>
        <v>Cancelled</v>
      </c>
      <c r="O359" s="24" t="str">
        <f>IF(ROUND(G359-Raw_Data!G370,2)=0,"OK","Corrected")</f>
        <v>OK</v>
      </c>
    </row>
    <row r="360" spans="1:15" x14ac:dyDescent="0.3">
      <c r="A360" s="24" t="str">
        <f>TRIM(Raw_Data!A371)</f>
        <v>AMZ-10101</v>
      </c>
      <c r="B360" s="25">
        <f>Raw_Data!B371</f>
        <v>46286</v>
      </c>
      <c r="C360" s="24" t="str">
        <f>PROPER(TRIM(Raw_Data!C371))</f>
        <v>Air Fryer</v>
      </c>
      <c r="D360" s="24" t="str">
        <f>TRIM(Raw_Data!D371)</f>
        <v>Home &amp; Kitchen</v>
      </c>
      <c r="E360" s="26">
        <f>Raw_Data!E371</f>
        <v>5999</v>
      </c>
      <c r="F360" s="24">
        <f>Raw_Data!F371</f>
        <v>2</v>
      </c>
      <c r="G360" s="26">
        <f t="shared" si="20"/>
        <v>11998</v>
      </c>
      <c r="H360" s="24" t="str">
        <f>PROPER(TRIM(Raw_Data!H371))</f>
        <v>Anjali Verma</v>
      </c>
      <c r="I360" s="24" t="str">
        <f>PROPER(TRIM(Raw_Data!I371))</f>
        <v>Mumbai</v>
      </c>
      <c r="J360" s="24" t="str">
        <f>TRIM(Raw_Data!J371)</f>
        <v>Cash On Delivery</v>
      </c>
      <c r="K360" s="24" t="str">
        <f>PROPER(TRIM(Raw_Data!K371))</f>
        <v>Delivered</v>
      </c>
      <c r="L360" s="24" t="str">
        <f t="shared" si="21"/>
        <v>Sep</v>
      </c>
      <c r="M360" s="24" t="str">
        <f t="shared" si="22"/>
        <v>Mon</v>
      </c>
      <c r="N360" s="24" t="str">
        <f t="shared" si="23"/>
        <v>Delivered</v>
      </c>
      <c r="O360" s="24" t="str">
        <f>IF(ROUND(G360-Raw_Data!G371,2)=0,"OK","Corrected")</f>
        <v>OK</v>
      </c>
    </row>
    <row r="361" spans="1:15" x14ac:dyDescent="0.3">
      <c r="A361" s="24" t="str">
        <f>TRIM(Raw_Data!A372)</f>
        <v>AMZ-10108</v>
      </c>
      <c r="B361" s="25">
        <f>Raw_Data!B372</f>
        <v>46286</v>
      </c>
      <c r="C361" s="24" t="str">
        <f>PROPER(TRIM(Raw_Data!C372))</f>
        <v>Python Programming Book</v>
      </c>
      <c r="D361" s="24" t="str">
        <f>TRIM(Raw_Data!D372)</f>
        <v>Books</v>
      </c>
      <c r="E361" s="26">
        <f>Raw_Data!E372</f>
        <v>699</v>
      </c>
      <c r="F361" s="24">
        <f>Raw_Data!F372</f>
        <v>3</v>
      </c>
      <c r="G361" s="26">
        <f t="shared" si="20"/>
        <v>2097</v>
      </c>
      <c r="H361" s="24" t="str">
        <f>PROPER(TRIM(Raw_Data!H372))</f>
        <v>Divya Singh</v>
      </c>
      <c r="I361" s="24" t="str">
        <f>PROPER(TRIM(Raw_Data!I372))</f>
        <v>Delhi</v>
      </c>
      <c r="J361" s="24" t="str">
        <f>TRIM(Raw_Data!J372)</f>
        <v>UPI</v>
      </c>
      <c r="K361" s="24" t="str">
        <f>PROPER(TRIM(Raw_Data!K372))</f>
        <v>Delivered</v>
      </c>
      <c r="L361" s="24" t="str">
        <f t="shared" si="21"/>
        <v>Sep</v>
      </c>
      <c r="M361" s="24" t="str">
        <f t="shared" si="22"/>
        <v>Mon</v>
      </c>
      <c r="N361" s="24" t="str">
        <f t="shared" si="23"/>
        <v>Delivered</v>
      </c>
      <c r="O361" s="24" t="str">
        <f>IF(ROUND(G361-Raw_Data!G372,2)=0,"OK","Corrected")</f>
        <v>OK</v>
      </c>
    </row>
    <row r="362" spans="1:15" x14ac:dyDescent="0.3">
      <c r="A362" s="24" t="str">
        <f>TRIM(Raw_Data!A374)</f>
        <v>AMZ-10155</v>
      </c>
      <c r="B362" s="25">
        <f>Raw_Data!B374</f>
        <v>46286</v>
      </c>
      <c r="C362" s="24" t="str">
        <f>PROPER(TRIM(Raw_Data!C374))</f>
        <v>Power Bank</v>
      </c>
      <c r="D362" s="24" t="str">
        <f>TRIM(Raw_Data!D374)</f>
        <v>Electronics</v>
      </c>
      <c r="E362" s="26">
        <f>Raw_Data!E374</f>
        <v>1299</v>
      </c>
      <c r="F362" s="24">
        <f>Raw_Data!F374</f>
        <v>2</v>
      </c>
      <c r="G362" s="26">
        <f t="shared" si="20"/>
        <v>2598</v>
      </c>
      <c r="H362" s="24" t="str">
        <f>PROPER(TRIM(Raw_Data!H374))</f>
        <v>Ishaan Chopra</v>
      </c>
      <c r="I362" s="24" t="str">
        <f>PROPER(TRIM(Raw_Data!I374))</f>
        <v>Mumbai</v>
      </c>
      <c r="J362" s="24" t="str">
        <f>TRIM(Raw_Data!J374)</f>
        <v>UPI</v>
      </c>
      <c r="K362" s="24" t="str">
        <f>PROPER(TRIM(Raw_Data!K374))</f>
        <v>Delivered</v>
      </c>
      <c r="L362" s="24" t="str">
        <f t="shared" si="21"/>
        <v>Sep</v>
      </c>
      <c r="M362" s="24" t="str">
        <f t="shared" si="22"/>
        <v>Mon</v>
      </c>
      <c r="N362" s="24" t="str">
        <f t="shared" si="23"/>
        <v>Delivered</v>
      </c>
      <c r="O362" s="24" t="str">
        <f>IF(ROUND(G362-Raw_Data!G374,2)=0,"OK","Corrected")</f>
        <v>OK</v>
      </c>
    </row>
    <row r="363" spans="1:15" x14ac:dyDescent="0.3">
      <c r="A363" s="24" t="str">
        <f>TRIM(Raw_Data!A375)</f>
        <v>AMZ-10164</v>
      </c>
      <c r="B363" s="25">
        <f>Raw_Data!B375</f>
        <v>46286</v>
      </c>
      <c r="C363" s="24" t="str">
        <f>PROPER(TRIM(Raw_Data!C375))</f>
        <v>Water Bottle</v>
      </c>
      <c r="D363" s="24" t="str">
        <f>TRIM(Raw_Data!D375)</f>
        <v>Home &amp; Kitchen</v>
      </c>
      <c r="E363" s="26">
        <f>Raw_Data!E375</f>
        <v>499</v>
      </c>
      <c r="F363" s="24">
        <f>Raw_Data!F375</f>
        <v>1</v>
      </c>
      <c r="G363" s="26">
        <f t="shared" si="20"/>
        <v>499</v>
      </c>
      <c r="H363" s="24" t="str">
        <f>PROPER(TRIM(Raw_Data!H375))</f>
        <v>Vikram Iyer</v>
      </c>
      <c r="I363" s="24" t="str">
        <f>PROPER(TRIM(Raw_Data!I375))</f>
        <v>Bangalore</v>
      </c>
      <c r="J363" s="24" t="str">
        <f>TRIM(Raw_Data!J375)</f>
        <v>Net Banking</v>
      </c>
      <c r="K363" s="24" t="str">
        <f>PROPER(TRIM(Raw_Data!K375))</f>
        <v>Delivered</v>
      </c>
      <c r="L363" s="24" t="str">
        <f t="shared" si="21"/>
        <v>Sep</v>
      </c>
      <c r="M363" s="24" t="str">
        <f t="shared" si="22"/>
        <v>Mon</v>
      </c>
      <c r="N363" s="24" t="str">
        <f t="shared" si="23"/>
        <v>Delivered</v>
      </c>
      <c r="O363" s="24" t="str">
        <f>IF(ROUND(G363-Raw_Data!G375,2)=0,"OK","Corrected")</f>
        <v>OK</v>
      </c>
    </row>
    <row r="364" spans="1:15" x14ac:dyDescent="0.3">
      <c r="A364" s="24" t="str">
        <f>TRIM(Raw_Data!A376)</f>
        <v>AMZ-10209</v>
      </c>
      <c r="B364" s="25">
        <f>Raw_Data!B376</f>
        <v>46286</v>
      </c>
      <c r="C364" s="24" t="str">
        <f>PROPER(TRIM(Raw_Data!C376))</f>
        <v>Mixer Grinder</v>
      </c>
      <c r="D364" s="24" t="str">
        <f>TRIM(Raw_Data!D376)</f>
        <v>Home &amp; Kitchen</v>
      </c>
      <c r="E364" s="26">
        <f>Raw_Data!E376</f>
        <v>3499</v>
      </c>
      <c r="F364" s="24">
        <f>Raw_Data!F376</f>
        <v>1</v>
      </c>
      <c r="G364" s="26">
        <f t="shared" si="20"/>
        <v>3499</v>
      </c>
      <c r="H364" s="24" t="str">
        <f>PROPER(TRIM(Raw_Data!H376))</f>
        <v>Sneha Singh</v>
      </c>
      <c r="I364" s="24" t="str">
        <f>PROPER(TRIM(Raw_Data!I376))</f>
        <v>Mumbai</v>
      </c>
      <c r="J364" s="24" t="str">
        <f>TRIM(Raw_Data!J376)</f>
        <v>Credit Card</v>
      </c>
      <c r="K364" s="24" t="str">
        <f>PROPER(TRIM(Raw_Data!K376))</f>
        <v>Delivered</v>
      </c>
      <c r="L364" s="24" t="str">
        <f t="shared" si="21"/>
        <v>Sep</v>
      </c>
      <c r="M364" s="24" t="str">
        <f t="shared" si="22"/>
        <v>Mon</v>
      </c>
      <c r="N364" s="24" t="str">
        <f t="shared" si="23"/>
        <v>Delivered</v>
      </c>
      <c r="O364" s="24" t="str">
        <f>IF(ROUND(G364-Raw_Data!G376,2)=0,"OK","Corrected")</f>
        <v>OK</v>
      </c>
    </row>
    <row r="365" spans="1:15" x14ac:dyDescent="0.3">
      <c r="A365" s="24" t="str">
        <f>TRIM(Raw_Data!A378)</f>
        <v>AMZ-10217</v>
      </c>
      <c r="B365" s="25">
        <f>Raw_Data!B378</f>
        <v>46286</v>
      </c>
      <c r="C365" s="24" t="str">
        <f>PROPER(TRIM(Raw_Data!C378))</f>
        <v>Water Bottle</v>
      </c>
      <c r="D365" s="24" t="str">
        <f>TRIM(Raw_Data!D378)</f>
        <v>Home &amp; Kitchen</v>
      </c>
      <c r="E365" s="26">
        <f>Raw_Data!E378</f>
        <v>499</v>
      </c>
      <c r="F365" s="24">
        <f>Raw_Data!F378</f>
        <v>3</v>
      </c>
      <c r="G365" s="26">
        <f t="shared" si="20"/>
        <v>1497</v>
      </c>
      <c r="H365" s="24" t="str">
        <f>PROPER(TRIM(Raw_Data!H378))</f>
        <v>Rajesh Reddy</v>
      </c>
      <c r="I365" s="24" t="str">
        <f>PROPER(TRIM(Raw_Data!I378))</f>
        <v>Delhi</v>
      </c>
      <c r="J365" s="24" t="str">
        <f>TRIM(Raw_Data!J378)</f>
        <v>Net Banking</v>
      </c>
      <c r="K365" s="24" t="str">
        <f>PROPER(TRIM(Raw_Data!K378))</f>
        <v>Delivered</v>
      </c>
      <c r="L365" s="24" t="str">
        <f t="shared" si="21"/>
        <v>Sep</v>
      </c>
      <c r="M365" s="24" t="str">
        <f t="shared" si="22"/>
        <v>Mon</v>
      </c>
      <c r="N365" s="24" t="str">
        <f t="shared" si="23"/>
        <v>Delivered</v>
      </c>
      <c r="O365" s="24" t="str">
        <f>IF(ROUND(G365-Raw_Data!G378,2)=0,"OK","Corrected")</f>
        <v>OK</v>
      </c>
    </row>
    <row r="366" spans="1:15" x14ac:dyDescent="0.3">
      <c r="A366" s="24" t="str">
        <f>TRIM(Raw_Data!A379)</f>
        <v>AMZ-10224</v>
      </c>
      <c r="B366" s="25">
        <f>Raw_Data!B379</f>
        <v>46286</v>
      </c>
      <c r="C366" s="24" t="str">
        <f>PROPER(TRIM(Raw_Data!C379))</f>
        <v>Running Shoes</v>
      </c>
      <c r="D366" s="24" t="str">
        <f>TRIM(Raw_Data!D379)</f>
        <v>Footwear</v>
      </c>
      <c r="E366" s="26">
        <f>Raw_Data!E379</f>
        <v>3299</v>
      </c>
      <c r="F366" s="24">
        <f>Raw_Data!F379</f>
        <v>2</v>
      </c>
      <c r="G366" s="26">
        <f t="shared" si="20"/>
        <v>6598</v>
      </c>
      <c r="H366" s="24" t="str">
        <f>PROPER(TRIM(Raw_Data!H379))</f>
        <v>Pooja Gupta</v>
      </c>
      <c r="I366" s="24" t="str">
        <f>PROPER(TRIM(Raw_Data!I379))</f>
        <v>Bangalore</v>
      </c>
      <c r="J366" s="24" t="str">
        <f>TRIM(Raw_Data!J379)</f>
        <v>UPI</v>
      </c>
      <c r="K366" s="24" t="str">
        <f>PROPER(TRIM(Raw_Data!K379))</f>
        <v>Delivered</v>
      </c>
      <c r="L366" s="24" t="str">
        <f t="shared" si="21"/>
        <v>Sep</v>
      </c>
      <c r="M366" s="24" t="str">
        <f t="shared" si="22"/>
        <v>Mon</v>
      </c>
      <c r="N366" s="24" t="str">
        <f t="shared" si="23"/>
        <v>Delivered</v>
      </c>
      <c r="O366" s="24" t="str">
        <f>IF(ROUND(G366-Raw_Data!G379,2)=0,"OK","Corrected")</f>
        <v>OK</v>
      </c>
    </row>
    <row r="367" spans="1:15" x14ac:dyDescent="0.3">
      <c r="A367" s="24" t="str">
        <f>TRIM(Raw_Data!A380)</f>
        <v>AMZ-10262</v>
      </c>
      <c r="B367" s="25">
        <f>Raw_Data!B380</f>
        <v>46286</v>
      </c>
      <c r="C367" s="24" t="str">
        <f>PROPER(TRIM(Raw_Data!C380))</f>
        <v>Air Fryer</v>
      </c>
      <c r="D367" s="24" t="str">
        <f>TRIM(Raw_Data!D380)</f>
        <v>Home &amp; Kitchen</v>
      </c>
      <c r="E367" s="26">
        <f>Raw_Data!E380</f>
        <v>5999</v>
      </c>
      <c r="F367" s="24">
        <f>Raw_Data!F380</f>
        <v>1</v>
      </c>
      <c r="G367" s="26">
        <f t="shared" si="20"/>
        <v>5999</v>
      </c>
      <c r="H367" s="24" t="str">
        <f>PROPER(TRIM(Raw_Data!H380))</f>
        <v>Tanvi Gupta</v>
      </c>
      <c r="I367" s="24" t="str">
        <f>PROPER(TRIM(Raw_Data!I380))</f>
        <v>Hyderabad</v>
      </c>
      <c r="J367" s="24" t="str">
        <f>TRIM(Raw_Data!J380)</f>
        <v>UPI</v>
      </c>
      <c r="K367" s="24" t="str">
        <f>PROPER(TRIM(Raw_Data!K380))</f>
        <v>Delivered</v>
      </c>
      <c r="L367" s="24" t="str">
        <f t="shared" si="21"/>
        <v>Sep</v>
      </c>
      <c r="M367" s="24" t="str">
        <f t="shared" si="22"/>
        <v>Mon</v>
      </c>
      <c r="N367" s="24" t="str">
        <f t="shared" si="23"/>
        <v>Delivered</v>
      </c>
      <c r="O367" s="24" t="str">
        <f>IF(ROUND(G367-Raw_Data!G380,2)=0,"OK","Corrected")</f>
        <v>OK</v>
      </c>
    </row>
    <row r="368" spans="1:15" x14ac:dyDescent="0.3">
      <c r="A368" s="24" t="str">
        <f>TRIM(Raw_Data!A381)</f>
        <v>AMZ-10327</v>
      </c>
      <c r="B368" s="25">
        <f>Raw_Data!B381</f>
        <v>46286</v>
      </c>
      <c r="C368" s="24" t="str">
        <f>PROPER(TRIM(Raw_Data!C381))</f>
        <v>Python Programming Book</v>
      </c>
      <c r="D368" s="24" t="str">
        <f>TRIM(Raw_Data!D381)</f>
        <v>Books</v>
      </c>
      <c r="E368" s="26">
        <f>Raw_Data!E381</f>
        <v>699</v>
      </c>
      <c r="F368" s="24">
        <f>Raw_Data!F381</f>
        <v>1</v>
      </c>
      <c r="G368" s="26">
        <f t="shared" si="20"/>
        <v>699</v>
      </c>
      <c r="H368" s="24" t="str">
        <f>PROPER(TRIM(Raw_Data!H381))</f>
        <v>Nikhil Kulkarni</v>
      </c>
      <c r="I368" s="24" t="str">
        <f>PROPER(TRIM(Raw_Data!I381))</f>
        <v>Pune</v>
      </c>
      <c r="J368" s="24" t="str">
        <f>TRIM(Raw_Data!J381)</f>
        <v>UPI</v>
      </c>
      <c r="K368" s="24" t="str">
        <f>PROPER(TRIM(Raw_Data!K381))</f>
        <v>Delivered</v>
      </c>
      <c r="L368" s="24" t="str">
        <f t="shared" si="21"/>
        <v>Sep</v>
      </c>
      <c r="M368" s="24" t="str">
        <f t="shared" si="22"/>
        <v>Mon</v>
      </c>
      <c r="N368" s="24" t="str">
        <f t="shared" si="23"/>
        <v>Delivered</v>
      </c>
      <c r="O368" s="24" t="str">
        <f>IF(ROUND(G368-Raw_Data!G381,2)=0,"OK","Corrected")</f>
        <v>OK</v>
      </c>
    </row>
    <row r="369" spans="1:15" x14ac:dyDescent="0.3">
      <c r="A369" s="24" t="str">
        <f>TRIM(Raw_Data!A382)</f>
        <v>AMZ-10346</v>
      </c>
      <c r="B369" s="25">
        <f>Raw_Data!B382</f>
        <v>46286</v>
      </c>
      <c r="C369" s="24" t="str">
        <f>PROPER(TRIM(Raw_Data!C382))</f>
        <v>Water Bottle</v>
      </c>
      <c r="D369" s="24" t="str">
        <f>TRIM(Raw_Data!D382)</f>
        <v>Home &amp; Kitchen</v>
      </c>
      <c r="E369" s="26">
        <f>Raw_Data!E382</f>
        <v>499</v>
      </c>
      <c r="F369" s="24">
        <f>Raw_Data!F382</f>
        <v>1</v>
      </c>
      <c r="G369" s="26">
        <f t="shared" si="20"/>
        <v>499</v>
      </c>
      <c r="H369" s="24" t="str">
        <f>PROPER(TRIM(Raw_Data!H382))</f>
        <v>Anjali Mehta</v>
      </c>
      <c r="I369" s="24" t="str">
        <f>PROPER(TRIM(Raw_Data!I382))</f>
        <v>Mumbai</v>
      </c>
      <c r="J369" s="24" t="str">
        <f>TRIM(Raw_Data!J382)</f>
        <v>Cash On Delivery</v>
      </c>
      <c r="K369" s="24" t="str">
        <f>PROPER(TRIM(Raw_Data!K382))</f>
        <v>Delivered</v>
      </c>
      <c r="L369" s="24" t="str">
        <f t="shared" si="21"/>
        <v>Sep</v>
      </c>
      <c r="M369" s="24" t="str">
        <f t="shared" si="22"/>
        <v>Mon</v>
      </c>
      <c r="N369" s="24" t="str">
        <f t="shared" si="23"/>
        <v>Delivered</v>
      </c>
      <c r="O369" s="24" t="str">
        <f>IF(ROUND(G369-Raw_Data!G382,2)=0,"OK","Corrected")</f>
        <v>OK</v>
      </c>
    </row>
    <row r="370" spans="1:15" x14ac:dyDescent="0.3">
      <c r="A370" s="24" t="str">
        <f>TRIM(Raw_Data!A383)</f>
        <v>AMZ-10370</v>
      </c>
      <c r="B370" s="25">
        <f>Raw_Data!B383</f>
        <v>46286</v>
      </c>
      <c r="C370" s="24" t="str">
        <f>PROPER(TRIM(Raw_Data!C383))</f>
        <v>Mixer Grinder</v>
      </c>
      <c r="D370" s="24" t="str">
        <f>TRIM(Raw_Data!D383)</f>
        <v>Home &amp; Kitchen</v>
      </c>
      <c r="E370" s="26">
        <f>Raw_Data!E383</f>
        <v>3499</v>
      </c>
      <c r="F370" s="24">
        <f>Raw_Data!F383</f>
        <v>2</v>
      </c>
      <c r="G370" s="26">
        <f t="shared" si="20"/>
        <v>6998</v>
      </c>
      <c r="H370" s="24" t="str">
        <f>PROPER(TRIM(Raw_Data!H383))</f>
        <v>Arjun Joshi</v>
      </c>
      <c r="I370" s="24" t="str">
        <f>PROPER(TRIM(Raw_Data!I383))</f>
        <v>Bangalore</v>
      </c>
      <c r="J370" s="24" t="str">
        <f>TRIM(Raw_Data!J383)</f>
        <v>Debit Card</v>
      </c>
      <c r="K370" s="24" t="str">
        <f>PROPER(TRIM(Raw_Data!K383))</f>
        <v>Delivered</v>
      </c>
      <c r="L370" s="24" t="str">
        <f t="shared" si="21"/>
        <v>Sep</v>
      </c>
      <c r="M370" s="24" t="str">
        <f t="shared" si="22"/>
        <v>Mon</v>
      </c>
      <c r="N370" s="24" t="str">
        <f t="shared" si="23"/>
        <v>Delivered</v>
      </c>
      <c r="O370" s="24" t="str">
        <f>IF(ROUND(G370-Raw_Data!G383,2)=0,"OK","Corrected")</f>
        <v>OK</v>
      </c>
    </row>
    <row r="371" spans="1:15" x14ac:dyDescent="0.3">
      <c r="A371" s="24" t="str">
        <f>TRIM(Raw_Data!A384)</f>
        <v>AMZ-10419</v>
      </c>
      <c r="B371" s="25">
        <f>Raw_Data!B384</f>
        <v>46286</v>
      </c>
      <c r="C371" s="24" t="str">
        <f>PROPER(TRIM(Raw_Data!C384))</f>
        <v>Running Shoes</v>
      </c>
      <c r="D371" s="24" t="str">
        <f>TRIM(Raw_Data!D384)</f>
        <v>Footwear</v>
      </c>
      <c r="E371" s="26">
        <f>Raw_Data!E384</f>
        <v>3299</v>
      </c>
      <c r="F371" s="24">
        <f>Raw_Data!F384</f>
        <v>3</v>
      </c>
      <c r="G371" s="26">
        <f t="shared" si="20"/>
        <v>9897</v>
      </c>
      <c r="H371" s="24" t="str">
        <f>PROPER(TRIM(Raw_Data!H384))</f>
        <v>Suresh Das</v>
      </c>
      <c r="I371" s="24" t="str">
        <f>PROPER(TRIM(Raw_Data!I384))</f>
        <v>Bangalore</v>
      </c>
      <c r="J371" s="24" t="str">
        <f>TRIM(Raw_Data!J384)</f>
        <v>Credit Card</v>
      </c>
      <c r="K371" s="24" t="str">
        <f>PROPER(TRIM(Raw_Data!K384))</f>
        <v>Delivered</v>
      </c>
      <c r="L371" s="24" t="str">
        <f t="shared" si="21"/>
        <v>Sep</v>
      </c>
      <c r="M371" s="24" t="str">
        <f t="shared" si="22"/>
        <v>Mon</v>
      </c>
      <c r="N371" s="24" t="str">
        <f t="shared" si="23"/>
        <v>Delivered</v>
      </c>
      <c r="O371" s="24" t="str">
        <f>IF(ROUND(G371-Raw_Data!G384,2)=0,"OK","Corrected")</f>
        <v>OK</v>
      </c>
    </row>
    <row r="372" spans="1:15" x14ac:dyDescent="0.3">
      <c r="A372" s="24" t="str">
        <f>TRIM(Raw_Data!A385)</f>
        <v>AMZ-10442</v>
      </c>
      <c r="B372" s="25">
        <f>Raw_Data!B385</f>
        <v>46286</v>
      </c>
      <c r="C372" s="24" t="str">
        <f>PROPER(TRIM(Raw_Data!C385))</f>
        <v>Self Help Book</v>
      </c>
      <c r="D372" s="24" t="str">
        <f>TRIM(Raw_Data!D385)</f>
        <v>Books</v>
      </c>
      <c r="E372" s="26">
        <f>Raw_Data!E385</f>
        <v>399</v>
      </c>
      <c r="F372" s="24">
        <f>Raw_Data!F385</f>
        <v>2</v>
      </c>
      <c r="G372" s="26">
        <f t="shared" si="20"/>
        <v>798</v>
      </c>
      <c r="H372" s="24" t="str">
        <f>PROPER(TRIM(Raw_Data!H385))</f>
        <v>Arjun Joshi</v>
      </c>
      <c r="I372" s="24" t="str">
        <f>PROPER(TRIM(Raw_Data!I385))</f>
        <v>Bangalore</v>
      </c>
      <c r="J372" s="24" t="str">
        <f>TRIM(Raw_Data!J385)</f>
        <v>Debit Card</v>
      </c>
      <c r="K372" s="24" t="str">
        <f>PROPER(TRIM(Raw_Data!K385))</f>
        <v>Delivered</v>
      </c>
      <c r="L372" s="24" t="str">
        <f t="shared" si="21"/>
        <v>Sep</v>
      </c>
      <c r="M372" s="24" t="str">
        <f t="shared" si="22"/>
        <v>Mon</v>
      </c>
      <c r="N372" s="24" t="str">
        <f t="shared" si="23"/>
        <v>Delivered</v>
      </c>
      <c r="O372" s="24" t="str">
        <f>IF(ROUND(G372-Raw_Data!G385,2)=0,"OK","Corrected")</f>
        <v>OK</v>
      </c>
    </row>
    <row r="373" spans="1:15" x14ac:dyDescent="0.3">
      <c r="A373" s="24" t="str">
        <f>TRIM(Raw_Data!A386)</f>
        <v>AMZ-10466</v>
      </c>
      <c r="B373" s="25">
        <f>Raw_Data!B386</f>
        <v>46286</v>
      </c>
      <c r="C373" s="24" t="str">
        <f>PROPER(TRIM(Raw_Data!C386))</f>
        <v>Cotton T-Shirt</v>
      </c>
      <c r="D373" s="24" t="str">
        <f>TRIM(Raw_Data!D386)</f>
        <v>Clothing</v>
      </c>
      <c r="E373" s="26">
        <f>Raw_Data!E386</f>
        <v>599</v>
      </c>
      <c r="F373" s="24">
        <f>Raw_Data!F386</f>
        <v>4</v>
      </c>
      <c r="G373" s="26">
        <f t="shared" si="20"/>
        <v>2396</v>
      </c>
      <c r="H373" s="24" t="str">
        <f>PROPER(TRIM(Raw_Data!H386))</f>
        <v>Vikram Reddy</v>
      </c>
      <c r="I373" s="24" t="str">
        <f>PROPER(TRIM(Raw_Data!I386))</f>
        <v>Hyderabad</v>
      </c>
      <c r="J373" s="24" t="str">
        <f>TRIM(Raw_Data!J386)</f>
        <v>UPI</v>
      </c>
      <c r="K373" s="24" t="str">
        <f>PROPER(TRIM(Raw_Data!K386))</f>
        <v>Cancelled</v>
      </c>
      <c r="L373" s="24" t="str">
        <f t="shared" si="21"/>
        <v>Sep</v>
      </c>
      <c r="M373" s="24" t="str">
        <f t="shared" si="22"/>
        <v>Mon</v>
      </c>
      <c r="N373" s="24" t="str">
        <f t="shared" si="23"/>
        <v>Cancelled</v>
      </c>
      <c r="O373" s="24" t="str">
        <f>IF(ROUND(G373-Raw_Data!G386,2)=0,"OK","Corrected")</f>
        <v>OK</v>
      </c>
    </row>
    <row r="374" spans="1:15" x14ac:dyDescent="0.3">
      <c r="A374" s="24" t="str">
        <f>TRIM(Raw_Data!A387)</f>
        <v>AMZ-10468</v>
      </c>
      <c r="B374" s="25">
        <f>Raw_Data!B387</f>
        <v>46286</v>
      </c>
      <c r="C374" s="24" t="str">
        <f>PROPER(TRIM(Raw_Data!C387))</f>
        <v>Sandals</v>
      </c>
      <c r="D374" s="24" t="str">
        <f>TRIM(Raw_Data!D387)</f>
        <v>Footwear</v>
      </c>
      <c r="E374" s="26">
        <f>Raw_Data!E387</f>
        <v>899</v>
      </c>
      <c r="F374" s="24">
        <f>Raw_Data!F387</f>
        <v>1</v>
      </c>
      <c r="G374" s="26">
        <f t="shared" si="20"/>
        <v>899</v>
      </c>
      <c r="H374" s="24" t="str">
        <f>PROPER(TRIM(Raw_Data!H387))</f>
        <v>Karan Joshi</v>
      </c>
      <c r="I374" s="24" t="str">
        <f>PROPER(TRIM(Raw_Data!I387))</f>
        <v>Hyderabad</v>
      </c>
      <c r="J374" s="24" t="str">
        <f>TRIM(Raw_Data!J387)</f>
        <v>Credit Card</v>
      </c>
      <c r="K374" s="24" t="str">
        <f>PROPER(TRIM(Raw_Data!K387))</f>
        <v>Delivered</v>
      </c>
      <c r="L374" s="24" t="str">
        <f t="shared" si="21"/>
        <v>Sep</v>
      </c>
      <c r="M374" s="24" t="str">
        <f t="shared" si="22"/>
        <v>Mon</v>
      </c>
      <c r="N374" s="24" t="str">
        <f t="shared" si="23"/>
        <v>Delivered</v>
      </c>
      <c r="O374" s="24" t="str">
        <f>IF(ROUND(G374-Raw_Data!G387,2)=0,"OK","Corrected")</f>
        <v>OK</v>
      </c>
    </row>
    <row r="375" spans="1:15" x14ac:dyDescent="0.3">
      <c r="A375" s="24" t="str">
        <f>TRIM(Raw_Data!A388)</f>
        <v>AMZ-10471</v>
      </c>
      <c r="B375" s="25">
        <f>Raw_Data!B388</f>
        <v>46286</v>
      </c>
      <c r="C375" s="24" t="str">
        <f>PROPER(TRIM(Raw_Data!C388))</f>
        <v>Cotton T-Shirt</v>
      </c>
      <c r="D375" s="24" t="str">
        <f>TRIM(Raw_Data!D388)</f>
        <v>Clothing</v>
      </c>
      <c r="E375" s="26">
        <f>Raw_Data!E388</f>
        <v>599</v>
      </c>
      <c r="F375" s="24">
        <f>Raw_Data!F388</f>
        <v>1</v>
      </c>
      <c r="G375" s="26">
        <f t="shared" si="20"/>
        <v>599</v>
      </c>
      <c r="H375" s="24" t="str">
        <f>PROPER(TRIM(Raw_Data!H388))</f>
        <v>Nikhil Patel</v>
      </c>
      <c r="I375" s="24" t="str">
        <f>PROPER(TRIM(Raw_Data!I388))</f>
        <v>Hyderabad</v>
      </c>
      <c r="J375" s="24" t="str">
        <f>TRIM(Raw_Data!J388)</f>
        <v>Debit Card</v>
      </c>
      <c r="K375" s="24" t="str">
        <f>PROPER(TRIM(Raw_Data!K388))</f>
        <v>Delivered</v>
      </c>
      <c r="L375" s="24" t="str">
        <f t="shared" si="21"/>
        <v>Sep</v>
      </c>
      <c r="M375" s="24" t="str">
        <f t="shared" si="22"/>
        <v>Mon</v>
      </c>
      <c r="N375" s="24" t="str">
        <f t="shared" si="23"/>
        <v>Delivered</v>
      </c>
      <c r="O375" s="24" t="str">
        <f>IF(ROUND(G375-Raw_Data!G388,2)=0,"OK","Corrected")</f>
        <v>OK</v>
      </c>
    </row>
    <row r="376" spans="1:15" x14ac:dyDescent="0.3">
      <c r="A376" s="24" t="str">
        <f>TRIM(Raw_Data!A389)</f>
        <v>AMZ-10049</v>
      </c>
      <c r="B376" s="25">
        <f>Raw_Data!B389</f>
        <v>46287</v>
      </c>
      <c r="C376" s="24" t="str">
        <f>PROPER(TRIM(Raw_Data!C389))</f>
        <v>Water Bottle</v>
      </c>
      <c r="D376" s="24" t="str">
        <f>TRIM(Raw_Data!D389)</f>
        <v>Home &amp; Kitchen</v>
      </c>
      <c r="E376" s="26">
        <f>Raw_Data!E389</f>
        <v>499</v>
      </c>
      <c r="F376" s="24">
        <f>Raw_Data!F389</f>
        <v>1</v>
      </c>
      <c r="G376" s="26">
        <f t="shared" si="20"/>
        <v>499</v>
      </c>
      <c r="H376" s="24" t="str">
        <f>PROPER(TRIM(Raw_Data!H389))</f>
        <v>Kavya Rao</v>
      </c>
      <c r="I376" s="24" t="str">
        <f>PROPER(TRIM(Raw_Data!I389))</f>
        <v>Bangalore</v>
      </c>
      <c r="J376" s="24" t="str">
        <f>TRIM(Raw_Data!J389)</f>
        <v>Cash On Delivery</v>
      </c>
      <c r="K376" s="24" t="str">
        <f>PROPER(TRIM(Raw_Data!K389))</f>
        <v>Delivered</v>
      </c>
      <c r="L376" s="24" t="str">
        <f t="shared" si="21"/>
        <v>Sep</v>
      </c>
      <c r="M376" s="24" t="str">
        <f t="shared" si="22"/>
        <v>Tue</v>
      </c>
      <c r="N376" s="24" t="str">
        <f t="shared" si="23"/>
        <v>Delivered</v>
      </c>
      <c r="O376" s="24" t="str">
        <f>IF(ROUND(G376-Raw_Data!G389,2)=0,"OK","Corrected")</f>
        <v>OK</v>
      </c>
    </row>
    <row r="377" spans="1:15" x14ac:dyDescent="0.3">
      <c r="A377" s="24" t="str">
        <f>TRIM(Raw_Data!A390)</f>
        <v>AMZ-10051</v>
      </c>
      <c r="B377" s="25">
        <f>Raw_Data!B390</f>
        <v>46287</v>
      </c>
      <c r="C377" s="24" t="str">
        <f>PROPER(TRIM(Raw_Data!C390))</f>
        <v>Smart Watch</v>
      </c>
      <c r="D377" s="24" t="str">
        <f>TRIM(Raw_Data!D390)</f>
        <v>Electronics</v>
      </c>
      <c r="E377" s="26">
        <f>Raw_Data!E390</f>
        <v>4999</v>
      </c>
      <c r="F377" s="24">
        <f>Raw_Data!F390</f>
        <v>1</v>
      </c>
      <c r="G377" s="26">
        <f t="shared" si="20"/>
        <v>4999</v>
      </c>
      <c r="H377" s="24" t="str">
        <f>PROPER(TRIM(Raw_Data!H390))</f>
        <v>Neha Kulkarni</v>
      </c>
      <c r="I377" s="24" t="str">
        <f>PROPER(TRIM(Raw_Data!I390))</f>
        <v>Delhi</v>
      </c>
      <c r="J377" s="24" t="str">
        <f>TRIM(Raw_Data!J390)</f>
        <v>Debit Card</v>
      </c>
      <c r="K377" s="24" t="str">
        <f>PROPER(TRIM(Raw_Data!K390))</f>
        <v>Delivered</v>
      </c>
      <c r="L377" s="24" t="str">
        <f t="shared" si="21"/>
        <v>Sep</v>
      </c>
      <c r="M377" s="24" t="str">
        <f t="shared" si="22"/>
        <v>Tue</v>
      </c>
      <c r="N377" s="24" t="str">
        <f t="shared" si="23"/>
        <v>Delivered</v>
      </c>
      <c r="O377" s="24" t="str">
        <f>IF(ROUND(G377-Raw_Data!G390,2)=0,"OK","Corrected")</f>
        <v>OK</v>
      </c>
    </row>
    <row r="378" spans="1:15" x14ac:dyDescent="0.3">
      <c r="A378" s="24" t="str">
        <f>TRIM(Raw_Data!A391)</f>
        <v>AMZ-10072</v>
      </c>
      <c r="B378" s="25">
        <f>Raw_Data!B391</f>
        <v>46287</v>
      </c>
      <c r="C378" s="24" t="str">
        <f>PROPER(TRIM(Raw_Data!C391))</f>
        <v>Casual Sneakers</v>
      </c>
      <c r="D378" s="24" t="str">
        <f>TRIM(Raw_Data!D391)</f>
        <v>Footwear</v>
      </c>
      <c r="E378" s="26">
        <f>Raw_Data!E391</f>
        <v>2199</v>
      </c>
      <c r="F378" s="24">
        <f>Raw_Data!F391</f>
        <v>1</v>
      </c>
      <c r="G378" s="26">
        <f t="shared" si="20"/>
        <v>2199</v>
      </c>
      <c r="H378" s="24" t="str">
        <f>PROPER(TRIM(Raw_Data!H391))</f>
        <v>Meera Mehta</v>
      </c>
      <c r="I378" s="24" t="str">
        <f>PROPER(TRIM(Raw_Data!I391))</f>
        <v>Kolkata</v>
      </c>
      <c r="J378" s="24" t="str">
        <f>TRIM(Raw_Data!J391)</f>
        <v>Debit Card</v>
      </c>
      <c r="K378" s="24" t="str">
        <f>PROPER(TRIM(Raw_Data!K391))</f>
        <v>Delivered</v>
      </c>
      <c r="L378" s="24" t="str">
        <f t="shared" si="21"/>
        <v>Sep</v>
      </c>
      <c r="M378" s="24" t="str">
        <f t="shared" si="22"/>
        <v>Tue</v>
      </c>
      <c r="N378" s="24" t="str">
        <f t="shared" si="23"/>
        <v>Delivered</v>
      </c>
      <c r="O378" s="24" t="str">
        <f>IF(ROUND(G378-Raw_Data!G391,2)=0,"OK","Corrected")</f>
        <v>OK</v>
      </c>
    </row>
    <row r="379" spans="1:15" x14ac:dyDescent="0.3">
      <c r="A379" s="24" t="str">
        <f>TRIM(Raw_Data!A392)</f>
        <v>AMZ-10146</v>
      </c>
      <c r="B379" s="25">
        <f>Raw_Data!B392</f>
        <v>46287</v>
      </c>
      <c r="C379" s="24" t="str">
        <f>PROPER(TRIM(Raw_Data!C392))</f>
        <v>Smart Watch</v>
      </c>
      <c r="D379" s="24" t="str">
        <f>TRIM(Raw_Data!D392)</f>
        <v>Electronics</v>
      </c>
      <c r="E379" s="26">
        <f>Raw_Data!E392</f>
        <v>4999</v>
      </c>
      <c r="F379" s="24">
        <f>Raw_Data!F392</f>
        <v>1</v>
      </c>
      <c r="G379" s="26">
        <f t="shared" si="20"/>
        <v>4999</v>
      </c>
      <c r="H379" s="24" t="str">
        <f>PROPER(TRIM(Raw_Data!H392))</f>
        <v>Priya Iyer</v>
      </c>
      <c r="I379" s="24" t="str">
        <f>PROPER(TRIM(Raw_Data!I392))</f>
        <v>Delhi</v>
      </c>
      <c r="J379" s="24" t="str">
        <f>TRIM(Raw_Data!J392)</f>
        <v>Cash On Delivery</v>
      </c>
      <c r="K379" s="24" t="str">
        <f>PROPER(TRIM(Raw_Data!K392))</f>
        <v>Delivered</v>
      </c>
      <c r="L379" s="24" t="str">
        <f t="shared" si="21"/>
        <v>Sep</v>
      </c>
      <c r="M379" s="24" t="str">
        <f t="shared" si="22"/>
        <v>Tue</v>
      </c>
      <c r="N379" s="24" t="str">
        <f t="shared" si="23"/>
        <v>Delivered</v>
      </c>
      <c r="O379" s="24" t="str">
        <f>IF(ROUND(G379-Raw_Data!G392,2)=0,"OK","Corrected")</f>
        <v>OK</v>
      </c>
    </row>
    <row r="380" spans="1:15" x14ac:dyDescent="0.3">
      <c r="A380" s="24" t="str">
        <f>TRIM(Raw_Data!A393)</f>
        <v>AMZ-10147</v>
      </c>
      <c r="B380" s="25">
        <f>Raw_Data!B393</f>
        <v>46287</v>
      </c>
      <c r="C380" s="24" t="str">
        <f>PROPER(TRIM(Raw_Data!C393))</f>
        <v>Wireless Earbuds</v>
      </c>
      <c r="D380" s="24" t="str">
        <f>TRIM(Raw_Data!D393)</f>
        <v>Electronics</v>
      </c>
      <c r="E380" s="26">
        <f>Raw_Data!E393</f>
        <v>2499</v>
      </c>
      <c r="F380" s="24">
        <f>Raw_Data!F393</f>
        <v>3</v>
      </c>
      <c r="G380" s="26">
        <f t="shared" si="20"/>
        <v>7497</v>
      </c>
      <c r="H380" s="24" t="str">
        <f>PROPER(TRIM(Raw_Data!H393))</f>
        <v>Priya Patel</v>
      </c>
      <c r="I380" s="24" t="str">
        <f>PROPER(TRIM(Raw_Data!I393))</f>
        <v>Pune</v>
      </c>
      <c r="J380" s="24" t="str">
        <f>TRIM(Raw_Data!J393)</f>
        <v>UPI</v>
      </c>
      <c r="K380" s="24" t="str">
        <f>PROPER(TRIM(Raw_Data!K393))</f>
        <v>Pending</v>
      </c>
      <c r="L380" s="24" t="str">
        <f t="shared" si="21"/>
        <v>Sep</v>
      </c>
      <c r="M380" s="24" t="str">
        <f t="shared" si="22"/>
        <v>Tue</v>
      </c>
      <c r="N380" s="24" t="str">
        <f t="shared" si="23"/>
        <v>Pending</v>
      </c>
      <c r="O380" s="24" t="str">
        <f>IF(ROUND(G380-Raw_Data!G393,2)=0,"OK","Corrected")</f>
        <v>OK</v>
      </c>
    </row>
    <row r="381" spans="1:15" x14ac:dyDescent="0.3">
      <c r="A381" s="24" t="str">
        <f>TRIM(Raw_Data!A394)</f>
        <v>AMZ-10153</v>
      </c>
      <c r="B381" s="25">
        <f>Raw_Data!B394</f>
        <v>46287</v>
      </c>
      <c r="C381" s="24" t="str">
        <f>PROPER(TRIM(Raw_Data!C394))</f>
        <v>Casual Sneakers</v>
      </c>
      <c r="D381" s="24" t="str">
        <f>TRIM(Raw_Data!D394)</f>
        <v>Footwear</v>
      </c>
      <c r="E381" s="26">
        <f>Raw_Data!E394</f>
        <v>2199</v>
      </c>
      <c r="F381" s="24">
        <f>Raw_Data!F394</f>
        <v>1</v>
      </c>
      <c r="G381" s="26">
        <f t="shared" si="20"/>
        <v>2199</v>
      </c>
      <c r="H381" s="24" t="str">
        <f>PROPER(TRIM(Raw_Data!H394))</f>
        <v>Vikram Reddy</v>
      </c>
      <c r="I381" s="24" t="str">
        <f>PROPER(TRIM(Raw_Data!I394))</f>
        <v>Hyderabad</v>
      </c>
      <c r="J381" s="24" t="str">
        <f>TRIM(Raw_Data!J394)</f>
        <v>Cash On Delivery</v>
      </c>
      <c r="K381" s="24" t="str">
        <f>PROPER(TRIM(Raw_Data!K394))</f>
        <v>Shipped</v>
      </c>
      <c r="L381" s="24" t="str">
        <f t="shared" si="21"/>
        <v>Sep</v>
      </c>
      <c r="M381" s="24" t="str">
        <f t="shared" si="22"/>
        <v>Tue</v>
      </c>
      <c r="N381" s="24" t="str">
        <f t="shared" si="23"/>
        <v>Pending</v>
      </c>
      <c r="O381" s="24" t="str">
        <f>IF(ROUND(G381-Raw_Data!G394,2)=0,"OK","Corrected")</f>
        <v>OK</v>
      </c>
    </row>
    <row r="382" spans="1:15" x14ac:dyDescent="0.3">
      <c r="A382" s="24" t="str">
        <f>TRIM(Raw_Data!A396)</f>
        <v>AMZ-10207</v>
      </c>
      <c r="B382" s="25">
        <f>Raw_Data!B396</f>
        <v>46287</v>
      </c>
      <c r="C382" s="24" t="str">
        <f>PROPER(TRIM(Raw_Data!C396))</f>
        <v>Water Bottle</v>
      </c>
      <c r="D382" s="24" t="str">
        <f>TRIM(Raw_Data!D396)</f>
        <v>Home &amp; Kitchen</v>
      </c>
      <c r="E382" s="26">
        <f>Raw_Data!E396</f>
        <v>499</v>
      </c>
      <c r="F382" s="24">
        <f>Raw_Data!F396</f>
        <v>1</v>
      </c>
      <c r="G382" s="26">
        <f t="shared" si="20"/>
        <v>499</v>
      </c>
      <c r="H382" s="24" t="str">
        <f>PROPER(TRIM(Raw_Data!H396))</f>
        <v>Vikram Joshi</v>
      </c>
      <c r="I382" s="24" t="str">
        <f>PROPER(TRIM(Raw_Data!I396))</f>
        <v>Hyderabad</v>
      </c>
      <c r="J382" s="24" t="str">
        <f>TRIM(Raw_Data!J396)</f>
        <v>Cash On Delivery</v>
      </c>
      <c r="K382" s="24" t="str">
        <f>PROPER(TRIM(Raw_Data!K396))</f>
        <v>Delivered</v>
      </c>
      <c r="L382" s="24" t="str">
        <f t="shared" si="21"/>
        <v>Sep</v>
      </c>
      <c r="M382" s="24" t="str">
        <f t="shared" si="22"/>
        <v>Tue</v>
      </c>
      <c r="N382" s="24" t="str">
        <f t="shared" si="23"/>
        <v>Delivered</v>
      </c>
      <c r="O382" s="24" t="str">
        <f>IF(ROUND(G382-Raw_Data!G396,2)=0,"OK","Corrected")</f>
        <v>OK</v>
      </c>
    </row>
    <row r="383" spans="1:15" x14ac:dyDescent="0.3">
      <c r="A383" s="24" t="str">
        <f>TRIM(Raw_Data!A397)</f>
        <v>AMZ-10226</v>
      </c>
      <c r="B383" s="25">
        <f>Raw_Data!B397</f>
        <v>46287</v>
      </c>
      <c r="C383" s="24" t="str">
        <f>PROPER(TRIM(Raw_Data!C397))</f>
        <v>Power Bank</v>
      </c>
      <c r="D383" s="24" t="str">
        <f>TRIM(Raw_Data!D397)</f>
        <v>Electronics</v>
      </c>
      <c r="E383" s="26">
        <f>Raw_Data!E397</f>
        <v>1299</v>
      </c>
      <c r="F383" s="24">
        <f>Raw_Data!F397</f>
        <v>1</v>
      </c>
      <c r="G383" s="26">
        <f t="shared" si="20"/>
        <v>1299</v>
      </c>
      <c r="H383" s="24" t="str">
        <f>PROPER(TRIM(Raw_Data!H397))</f>
        <v>Meera Mehta</v>
      </c>
      <c r="I383" s="24" t="str">
        <f>PROPER(TRIM(Raw_Data!I397))</f>
        <v>Kolkata</v>
      </c>
      <c r="J383" s="24" t="str">
        <f>TRIM(Raw_Data!J397)</f>
        <v>Credit Card</v>
      </c>
      <c r="K383" s="24" t="str">
        <f>PROPER(TRIM(Raw_Data!K397))</f>
        <v>Cancelled</v>
      </c>
      <c r="L383" s="24" t="str">
        <f t="shared" si="21"/>
        <v>Sep</v>
      </c>
      <c r="M383" s="24" t="str">
        <f t="shared" si="22"/>
        <v>Tue</v>
      </c>
      <c r="N383" s="24" t="str">
        <f t="shared" si="23"/>
        <v>Cancelled</v>
      </c>
      <c r="O383" s="24" t="str">
        <f>IF(ROUND(G383-Raw_Data!G397,2)=0,"OK","Corrected")</f>
        <v>OK</v>
      </c>
    </row>
    <row r="384" spans="1:15" x14ac:dyDescent="0.3">
      <c r="A384" s="24" t="str">
        <f>TRIM(Raw_Data!A398)</f>
        <v>AMZ-10235</v>
      </c>
      <c r="B384" s="25">
        <f>Raw_Data!B398</f>
        <v>46287</v>
      </c>
      <c r="C384" s="24" t="str">
        <f>PROPER(TRIM(Raw_Data!C398))</f>
        <v>Cotton T-Shirt</v>
      </c>
      <c r="D384" s="24" t="str">
        <f>TRIM(Raw_Data!D398)</f>
        <v>Clothing</v>
      </c>
      <c r="E384" s="26">
        <f>Raw_Data!E398</f>
        <v>599</v>
      </c>
      <c r="F384" s="24">
        <f>Raw_Data!F398</f>
        <v>3</v>
      </c>
      <c r="G384" s="26">
        <f t="shared" si="20"/>
        <v>1797</v>
      </c>
      <c r="H384" s="24" t="str">
        <f>PROPER(TRIM(Raw_Data!H398))</f>
        <v>Aditya Iyer</v>
      </c>
      <c r="I384" s="24" t="str">
        <f>PROPER(TRIM(Raw_Data!I398))</f>
        <v>Mumbai</v>
      </c>
      <c r="J384" s="24" t="str">
        <f>TRIM(Raw_Data!J398)</f>
        <v>UPI</v>
      </c>
      <c r="K384" s="24" t="str">
        <f>PROPER(TRIM(Raw_Data!K398))</f>
        <v>Cancelled</v>
      </c>
      <c r="L384" s="24" t="str">
        <f t="shared" si="21"/>
        <v>Sep</v>
      </c>
      <c r="M384" s="24" t="str">
        <f t="shared" si="22"/>
        <v>Tue</v>
      </c>
      <c r="N384" s="24" t="str">
        <f t="shared" si="23"/>
        <v>Cancelled</v>
      </c>
      <c r="O384" s="24" t="str">
        <f>IF(ROUND(G384-Raw_Data!G398,2)=0,"OK","Corrected")</f>
        <v>OK</v>
      </c>
    </row>
    <row r="385" spans="1:15" x14ac:dyDescent="0.3">
      <c r="A385" s="24" t="str">
        <f>TRIM(Raw_Data!A399)</f>
        <v>AMZ-10278</v>
      </c>
      <c r="B385" s="25">
        <f>Raw_Data!B399</f>
        <v>46287</v>
      </c>
      <c r="C385" s="24" t="str">
        <f>PROPER(TRIM(Raw_Data!C399))</f>
        <v>Self Help Book</v>
      </c>
      <c r="D385" s="24" t="str">
        <f>TRIM(Raw_Data!D399)</f>
        <v>Books</v>
      </c>
      <c r="E385" s="26">
        <f>Raw_Data!E399</f>
        <v>399</v>
      </c>
      <c r="F385" s="24">
        <f>Raw_Data!F399</f>
        <v>4</v>
      </c>
      <c r="G385" s="26">
        <f t="shared" si="20"/>
        <v>1596</v>
      </c>
      <c r="H385" s="24" t="str">
        <f>PROPER(TRIM(Raw_Data!H399))</f>
        <v>Kavya Rao</v>
      </c>
      <c r="I385" s="24" t="str">
        <f>PROPER(TRIM(Raw_Data!I399))</f>
        <v>Bangalore</v>
      </c>
      <c r="J385" s="24" t="str">
        <f>TRIM(Raw_Data!J399)</f>
        <v>UPI</v>
      </c>
      <c r="K385" s="24" t="str">
        <f>PROPER(TRIM(Raw_Data!K399))</f>
        <v>Delivered</v>
      </c>
      <c r="L385" s="24" t="str">
        <f t="shared" si="21"/>
        <v>Sep</v>
      </c>
      <c r="M385" s="24" t="str">
        <f t="shared" si="22"/>
        <v>Tue</v>
      </c>
      <c r="N385" s="24" t="str">
        <f t="shared" si="23"/>
        <v>Delivered</v>
      </c>
      <c r="O385" s="24" t="str">
        <f>IF(ROUND(G385-Raw_Data!G399,2)=0,"OK","Corrected")</f>
        <v>OK</v>
      </c>
    </row>
    <row r="386" spans="1:15" x14ac:dyDescent="0.3">
      <c r="A386" s="24" t="str">
        <f>TRIM(Raw_Data!A400)</f>
        <v>AMZ-10345</v>
      </c>
      <c r="B386" s="25">
        <f>Raw_Data!B400</f>
        <v>46287</v>
      </c>
      <c r="C386" s="24" t="str">
        <f>PROPER(TRIM(Raw_Data!C400))</f>
        <v>Smart Watch</v>
      </c>
      <c r="D386" s="24" t="str">
        <f>TRIM(Raw_Data!D400)</f>
        <v>Electronics</v>
      </c>
      <c r="E386" s="26">
        <f>Raw_Data!E400</f>
        <v>4999</v>
      </c>
      <c r="F386" s="24">
        <f>Raw_Data!F400</f>
        <v>1</v>
      </c>
      <c r="G386" s="26">
        <f t="shared" ref="G386:G449" si="24">E386*F386</f>
        <v>4999</v>
      </c>
      <c r="H386" s="24" t="str">
        <f>PROPER(TRIM(Raw_Data!H400))</f>
        <v>Neha Mehta</v>
      </c>
      <c r="I386" s="24" t="str">
        <f>PROPER(TRIM(Raw_Data!I400))</f>
        <v>Lucknow</v>
      </c>
      <c r="J386" s="24" t="str">
        <f>TRIM(Raw_Data!J400)</f>
        <v>Credit Card</v>
      </c>
      <c r="K386" s="24" t="str">
        <f>PROPER(TRIM(Raw_Data!K400))</f>
        <v>Pending</v>
      </c>
      <c r="L386" s="24" t="str">
        <f t="shared" ref="L386:L449" si="25">TEXT(B386,"MMM")</f>
        <v>Sep</v>
      </c>
      <c r="M386" s="24" t="str">
        <f t="shared" ref="M386:M449" si="26">TEXT(B386,"ddd")</f>
        <v>Tue</v>
      </c>
      <c r="N386" s="24" t="str">
        <f t="shared" ref="N386:N449" si="27">IF(K386="Delivered","Delivered",IF(K386="Cancelled","Cancelled","Pending"))</f>
        <v>Pending</v>
      </c>
      <c r="O386" s="24" t="str">
        <f>IF(ROUND(G386-Raw_Data!G400,2)=0,"OK","Corrected")</f>
        <v>OK</v>
      </c>
    </row>
    <row r="387" spans="1:15" x14ac:dyDescent="0.3">
      <c r="A387" s="24" t="str">
        <f>TRIM(Raw_Data!A401)</f>
        <v>AMZ-10349</v>
      </c>
      <c r="B387" s="25">
        <f>Raw_Data!B401</f>
        <v>46287</v>
      </c>
      <c r="C387" s="24" t="str">
        <f>PROPER(TRIM(Raw_Data!C401))</f>
        <v>Water Bottle</v>
      </c>
      <c r="D387" s="24" t="str">
        <f>TRIM(Raw_Data!D401)</f>
        <v>Home &amp; Kitchen</v>
      </c>
      <c r="E387" s="26">
        <f>Raw_Data!E401</f>
        <v>499</v>
      </c>
      <c r="F387" s="24">
        <f>Raw_Data!F401</f>
        <v>1</v>
      </c>
      <c r="G387" s="26">
        <f t="shared" si="24"/>
        <v>499</v>
      </c>
      <c r="H387" s="24" t="str">
        <f>PROPER(TRIM(Raw_Data!H401))</f>
        <v>Ishaan Gupta</v>
      </c>
      <c r="I387" s="24" t="str">
        <f>PROPER(TRIM(Raw_Data!I401))</f>
        <v>Lucknow</v>
      </c>
      <c r="J387" s="24" t="str">
        <f>TRIM(Raw_Data!J401)</f>
        <v>Debit Card</v>
      </c>
      <c r="K387" s="24" t="str">
        <f>PROPER(TRIM(Raw_Data!K401))</f>
        <v>Pending</v>
      </c>
      <c r="L387" s="24" t="str">
        <f t="shared" si="25"/>
        <v>Sep</v>
      </c>
      <c r="M387" s="24" t="str">
        <f t="shared" si="26"/>
        <v>Tue</v>
      </c>
      <c r="N387" s="24" t="str">
        <f t="shared" si="27"/>
        <v>Pending</v>
      </c>
      <c r="O387" s="24" t="str">
        <f>IF(ROUND(G387-Raw_Data!G401,2)=0,"OK","Corrected")</f>
        <v>OK</v>
      </c>
    </row>
    <row r="388" spans="1:15" x14ac:dyDescent="0.3">
      <c r="A388" s="24" t="str">
        <f>TRIM(Raw_Data!A402)</f>
        <v>AMZ-10352</v>
      </c>
      <c r="B388" s="25">
        <f>Raw_Data!B402</f>
        <v>46287</v>
      </c>
      <c r="C388" s="24" t="str">
        <f>PROPER(TRIM(Raw_Data!C402))</f>
        <v>Running Shoes</v>
      </c>
      <c r="D388" s="24" t="str">
        <f>TRIM(Raw_Data!D402)</f>
        <v>Footwear</v>
      </c>
      <c r="E388" s="26">
        <f>Raw_Data!E402</f>
        <v>3299</v>
      </c>
      <c r="F388" s="24">
        <f>Raw_Data!F402</f>
        <v>1</v>
      </c>
      <c r="G388" s="26">
        <f t="shared" si="24"/>
        <v>3299</v>
      </c>
      <c r="H388" s="24" t="str">
        <f>PROPER(TRIM(Raw_Data!H402))</f>
        <v>Anjali Mehta</v>
      </c>
      <c r="I388" s="24" t="str">
        <f>PROPER(TRIM(Raw_Data!I402))</f>
        <v>Mumbai</v>
      </c>
      <c r="J388" s="24" t="str">
        <f>TRIM(Raw_Data!J402)</f>
        <v>UPI</v>
      </c>
      <c r="K388" s="24" t="str">
        <f>PROPER(TRIM(Raw_Data!K402))</f>
        <v>Delivered</v>
      </c>
      <c r="L388" s="24" t="str">
        <f t="shared" si="25"/>
        <v>Sep</v>
      </c>
      <c r="M388" s="24" t="str">
        <f t="shared" si="26"/>
        <v>Tue</v>
      </c>
      <c r="N388" s="24" t="str">
        <f t="shared" si="27"/>
        <v>Delivered</v>
      </c>
      <c r="O388" s="24" t="str">
        <f>IF(ROUND(G388-Raw_Data!G402,2)=0,"OK","Corrected")</f>
        <v>OK</v>
      </c>
    </row>
    <row r="389" spans="1:15" x14ac:dyDescent="0.3">
      <c r="A389" s="24" t="str">
        <f>TRIM(Raw_Data!A403)</f>
        <v>AMZ-10354</v>
      </c>
      <c r="B389" s="25">
        <f>Raw_Data!B403</f>
        <v>46287</v>
      </c>
      <c r="C389" s="24" t="str">
        <f>PROPER(TRIM(Raw_Data!C403))</f>
        <v>Casual Sneakers</v>
      </c>
      <c r="D389" s="24" t="str">
        <f>TRIM(Raw_Data!D403)</f>
        <v>Footwear</v>
      </c>
      <c r="E389" s="26">
        <f>Raw_Data!E403</f>
        <v>2199</v>
      </c>
      <c r="F389" s="24">
        <f>Raw_Data!F403</f>
        <v>1</v>
      </c>
      <c r="G389" s="26">
        <f t="shared" si="24"/>
        <v>2199</v>
      </c>
      <c r="H389" s="24" t="str">
        <f>PROPER(TRIM(Raw_Data!H403))</f>
        <v>Nikhil Patel</v>
      </c>
      <c r="I389" s="24" t="str">
        <f>PROPER(TRIM(Raw_Data!I403))</f>
        <v>Hyderabad</v>
      </c>
      <c r="J389" s="24" t="str">
        <f>TRIM(Raw_Data!J403)</f>
        <v>Cash On Delivery</v>
      </c>
      <c r="K389" s="24" t="str">
        <f>PROPER(TRIM(Raw_Data!K403))</f>
        <v>Delivered</v>
      </c>
      <c r="L389" s="24" t="str">
        <f t="shared" si="25"/>
        <v>Sep</v>
      </c>
      <c r="M389" s="24" t="str">
        <f t="shared" si="26"/>
        <v>Tue</v>
      </c>
      <c r="N389" s="24" t="str">
        <f t="shared" si="27"/>
        <v>Delivered</v>
      </c>
      <c r="O389" s="24" t="str">
        <f>IF(ROUND(G389-Raw_Data!G403,2)=0,"OK","Corrected")</f>
        <v>OK</v>
      </c>
    </row>
    <row r="390" spans="1:15" x14ac:dyDescent="0.3">
      <c r="A390" s="24" t="str">
        <f>TRIM(Raw_Data!A404)</f>
        <v>AMZ-10359</v>
      </c>
      <c r="B390" s="25">
        <f>Raw_Data!B404</f>
        <v>46287</v>
      </c>
      <c r="C390" s="24" t="str">
        <f>PROPER(TRIM(Raw_Data!C404))</f>
        <v>Cotton T-Shirt</v>
      </c>
      <c r="D390" s="24" t="str">
        <f>TRIM(Raw_Data!D404)</f>
        <v>Clothing</v>
      </c>
      <c r="E390" s="26">
        <f>Raw_Data!E404</f>
        <v>599</v>
      </c>
      <c r="F390" s="24">
        <f>Raw_Data!F404</f>
        <v>1</v>
      </c>
      <c r="G390" s="26">
        <f t="shared" si="24"/>
        <v>599</v>
      </c>
      <c r="H390" s="24" t="str">
        <f>PROPER(TRIM(Raw_Data!H404))</f>
        <v>Sahil Sharma</v>
      </c>
      <c r="I390" s="24" t="str">
        <f>PROPER(TRIM(Raw_Data!I404))</f>
        <v>Ahmedabad</v>
      </c>
      <c r="J390" s="24" t="str">
        <f>TRIM(Raw_Data!J404)</f>
        <v>Cash On Delivery</v>
      </c>
      <c r="K390" s="24" t="str">
        <f>PROPER(TRIM(Raw_Data!K404))</f>
        <v>Delivered</v>
      </c>
      <c r="L390" s="24" t="str">
        <f t="shared" si="25"/>
        <v>Sep</v>
      </c>
      <c r="M390" s="24" t="str">
        <f t="shared" si="26"/>
        <v>Tue</v>
      </c>
      <c r="N390" s="24" t="str">
        <f t="shared" si="27"/>
        <v>Delivered</v>
      </c>
      <c r="O390" s="24" t="str">
        <f>IF(ROUND(G390-Raw_Data!G404,2)=0,"OK","Corrected")</f>
        <v>OK</v>
      </c>
    </row>
    <row r="391" spans="1:15" x14ac:dyDescent="0.3">
      <c r="A391" s="24" t="str">
        <f>TRIM(Raw_Data!A405)</f>
        <v>AMZ-10371</v>
      </c>
      <c r="B391" s="25">
        <f>Raw_Data!B405</f>
        <v>46287</v>
      </c>
      <c r="C391" s="24" t="str">
        <f>PROPER(TRIM(Raw_Data!C405))</f>
        <v>Wireless Earbuds</v>
      </c>
      <c r="D391" s="24" t="str">
        <f>TRIM(Raw_Data!D405)</f>
        <v>Electronics</v>
      </c>
      <c r="E391" s="26">
        <f>Raw_Data!E405</f>
        <v>2499</v>
      </c>
      <c r="F391" s="24">
        <f>Raw_Data!F405</f>
        <v>1</v>
      </c>
      <c r="G391" s="26">
        <f t="shared" si="24"/>
        <v>2499</v>
      </c>
      <c r="H391" s="24" t="str">
        <f>PROPER(TRIM(Raw_Data!H405))</f>
        <v>Rajesh Reddy</v>
      </c>
      <c r="I391" s="24" t="str">
        <f>PROPER(TRIM(Raw_Data!I405))</f>
        <v>Delhi</v>
      </c>
      <c r="J391" s="24" t="str">
        <f>TRIM(Raw_Data!J405)</f>
        <v>Credit Card</v>
      </c>
      <c r="K391" s="24" t="str">
        <f>PROPER(TRIM(Raw_Data!K405))</f>
        <v>Delivered</v>
      </c>
      <c r="L391" s="24" t="str">
        <f t="shared" si="25"/>
        <v>Sep</v>
      </c>
      <c r="M391" s="24" t="str">
        <f t="shared" si="26"/>
        <v>Tue</v>
      </c>
      <c r="N391" s="24" t="str">
        <f t="shared" si="27"/>
        <v>Delivered</v>
      </c>
      <c r="O391" s="24" t="str">
        <f>IF(ROUND(G391-Raw_Data!G405,2)=0,"OK","Corrected")</f>
        <v>OK</v>
      </c>
    </row>
    <row r="392" spans="1:15" x14ac:dyDescent="0.3">
      <c r="A392" s="24" t="str">
        <f>TRIM(Raw_Data!A406)</f>
        <v>AMZ-10392</v>
      </c>
      <c r="B392" s="25">
        <f>Raw_Data!B406</f>
        <v>46287</v>
      </c>
      <c r="C392" s="24" t="str">
        <f>PROPER(TRIM(Raw_Data!C406))</f>
        <v>Water Bottle</v>
      </c>
      <c r="D392" s="24" t="str">
        <f>TRIM(Raw_Data!D406)</f>
        <v>Home &amp; Kitchen</v>
      </c>
      <c r="E392" s="26">
        <f>Raw_Data!E406</f>
        <v>499</v>
      </c>
      <c r="F392" s="24">
        <f>Raw_Data!F406</f>
        <v>2</v>
      </c>
      <c r="G392" s="26">
        <f t="shared" si="24"/>
        <v>998</v>
      </c>
      <c r="H392" s="24" t="str">
        <f>PROPER(TRIM(Raw_Data!H406))</f>
        <v>Nikhil Rao</v>
      </c>
      <c r="I392" s="24" t="str">
        <f>PROPER(TRIM(Raw_Data!I406))</f>
        <v>Chennai</v>
      </c>
      <c r="J392" s="24" t="str">
        <f>TRIM(Raw_Data!J406)</f>
        <v>Credit Card</v>
      </c>
      <c r="K392" s="24" t="str">
        <f>PROPER(TRIM(Raw_Data!K406))</f>
        <v>Delivered</v>
      </c>
      <c r="L392" s="24" t="str">
        <f t="shared" si="25"/>
        <v>Sep</v>
      </c>
      <c r="M392" s="24" t="str">
        <f t="shared" si="26"/>
        <v>Tue</v>
      </c>
      <c r="N392" s="24" t="str">
        <f t="shared" si="27"/>
        <v>Delivered</v>
      </c>
      <c r="O392" s="24" t="str">
        <f>IF(ROUND(G392-Raw_Data!G406,2)=0,"OK","Corrected")</f>
        <v>OK</v>
      </c>
    </row>
    <row r="393" spans="1:15" x14ac:dyDescent="0.3">
      <c r="A393" s="24" t="str">
        <f>TRIM(Raw_Data!A407)</f>
        <v>AMZ-10489</v>
      </c>
      <c r="B393" s="25">
        <f>Raw_Data!B407</f>
        <v>46287</v>
      </c>
      <c r="C393" s="24" t="str">
        <f>PROPER(TRIM(Raw_Data!C407))</f>
        <v>Denim Jeans</v>
      </c>
      <c r="D393" s="24" t="str">
        <f>TRIM(Raw_Data!D407)</f>
        <v>Clothing</v>
      </c>
      <c r="E393" s="26">
        <f>Raw_Data!E407</f>
        <v>1799</v>
      </c>
      <c r="F393" s="24">
        <f>Raw_Data!F407</f>
        <v>1</v>
      </c>
      <c r="G393" s="26">
        <f t="shared" si="24"/>
        <v>1799</v>
      </c>
      <c r="H393" s="24" t="str">
        <f>PROPER(TRIM(Raw_Data!H407))</f>
        <v>Vikram Nair</v>
      </c>
      <c r="I393" s="24" t="str">
        <f>PROPER(TRIM(Raw_Data!I407))</f>
        <v>Mumbai</v>
      </c>
      <c r="J393" s="24" t="str">
        <f>TRIM(Raw_Data!J407)</f>
        <v>Cash On Delivery</v>
      </c>
      <c r="K393" s="24" t="str">
        <f>PROPER(TRIM(Raw_Data!K407))</f>
        <v>Delivered</v>
      </c>
      <c r="L393" s="24" t="str">
        <f t="shared" si="25"/>
        <v>Sep</v>
      </c>
      <c r="M393" s="24" t="str">
        <f t="shared" si="26"/>
        <v>Tue</v>
      </c>
      <c r="N393" s="24" t="str">
        <f t="shared" si="27"/>
        <v>Delivered</v>
      </c>
      <c r="O393" s="24" t="str">
        <f>IF(ROUND(G393-Raw_Data!G407,2)=0,"OK","Corrected")</f>
        <v>OK</v>
      </c>
    </row>
    <row r="394" spans="1:15" x14ac:dyDescent="0.3">
      <c r="A394" s="24" t="str">
        <f>TRIM(Raw_Data!A408)</f>
        <v>AMZ-10197</v>
      </c>
      <c r="B394" s="25">
        <f>Raw_Data!B408</f>
        <v>46288</v>
      </c>
      <c r="C394" s="24" t="str">
        <f>PROPER(TRIM(Raw_Data!C408))</f>
        <v>Water Bottle</v>
      </c>
      <c r="D394" s="24" t="str">
        <f>TRIM(Raw_Data!D408)</f>
        <v>Home &amp; Kitchen</v>
      </c>
      <c r="E394" s="26">
        <f>Raw_Data!E408</f>
        <v>499</v>
      </c>
      <c r="F394" s="24">
        <f>Raw_Data!F408</f>
        <v>1</v>
      </c>
      <c r="G394" s="26">
        <f t="shared" si="24"/>
        <v>499</v>
      </c>
      <c r="H394" s="24" t="str">
        <f>PROPER(TRIM(Raw_Data!H408))</f>
        <v>Karan Joshi</v>
      </c>
      <c r="I394" s="24" t="str">
        <f>PROPER(TRIM(Raw_Data!I408))</f>
        <v>Hyderabad</v>
      </c>
      <c r="J394" s="24" t="str">
        <f>TRIM(Raw_Data!J408)</f>
        <v>Debit Card</v>
      </c>
      <c r="K394" s="24" t="str">
        <f>PROPER(TRIM(Raw_Data!K408))</f>
        <v>Pending</v>
      </c>
      <c r="L394" s="24" t="str">
        <f t="shared" si="25"/>
        <v>Sep</v>
      </c>
      <c r="M394" s="24" t="str">
        <f t="shared" si="26"/>
        <v>Wed</v>
      </c>
      <c r="N394" s="24" t="str">
        <f t="shared" si="27"/>
        <v>Pending</v>
      </c>
      <c r="O394" s="24" t="str">
        <f>IF(ROUND(G394-Raw_Data!G408,2)=0,"OK","Corrected")</f>
        <v>OK</v>
      </c>
    </row>
    <row r="395" spans="1:15" x14ac:dyDescent="0.3">
      <c r="A395" s="24" t="str">
        <f>TRIM(Raw_Data!A409)</f>
        <v>AMZ-10365</v>
      </c>
      <c r="B395" s="25">
        <f>Raw_Data!B409</f>
        <v>46288</v>
      </c>
      <c r="C395" s="24" t="str">
        <f>PROPER(TRIM(Raw_Data!C409))</f>
        <v>Mixer Grinder</v>
      </c>
      <c r="D395" s="24" t="str">
        <f>TRIM(Raw_Data!D409)</f>
        <v>Home &amp; Kitchen</v>
      </c>
      <c r="E395" s="26">
        <f>Raw_Data!E409</f>
        <v>3499</v>
      </c>
      <c r="F395" s="24">
        <f>Raw_Data!F409</f>
        <v>1</v>
      </c>
      <c r="G395" s="26">
        <f t="shared" si="24"/>
        <v>3499</v>
      </c>
      <c r="H395" s="24" t="str">
        <f>PROPER(TRIM(Raw_Data!H409))</f>
        <v>Sahil Sharma</v>
      </c>
      <c r="I395" s="24" t="str">
        <f>PROPER(TRIM(Raw_Data!I409))</f>
        <v>Ahmedabad</v>
      </c>
      <c r="J395" s="24" t="str">
        <f>TRIM(Raw_Data!J409)</f>
        <v>Cash On Delivery</v>
      </c>
      <c r="K395" s="24" t="str">
        <f>PROPER(TRIM(Raw_Data!K409))</f>
        <v>Delivered</v>
      </c>
      <c r="L395" s="24" t="str">
        <f t="shared" si="25"/>
        <v>Sep</v>
      </c>
      <c r="M395" s="24" t="str">
        <f t="shared" si="26"/>
        <v>Wed</v>
      </c>
      <c r="N395" s="24" t="str">
        <f t="shared" si="27"/>
        <v>Delivered</v>
      </c>
      <c r="O395" s="24" t="str">
        <f>IF(ROUND(G395-Raw_Data!G409,2)=0,"OK","Corrected")</f>
        <v>OK</v>
      </c>
    </row>
    <row r="396" spans="1:15" x14ac:dyDescent="0.3">
      <c r="A396" s="24" t="str">
        <f>TRIM(Raw_Data!A410)</f>
        <v>AMZ-10373</v>
      </c>
      <c r="B396" s="25">
        <f>Raw_Data!B410</f>
        <v>46288</v>
      </c>
      <c r="C396" s="24" t="str">
        <f>PROPER(TRIM(Raw_Data!C410))</f>
        <v>Power Bank</v>
      </c>
      <c r="D396" s="24" t="str">
        <f>TRIM(Raw_Data!D410)</f>
        <v>Electronics</v>
      </c>
      <c r="E396" s="26">
        <f>Raw_Data!E410</f>
        <v>1299</v>
      </c>
      <c r="F396" s="24">
        <f>Raw_Data!F410</f>
        <v>1</v>
      </c>
      <c r="G396" s="26">
        <f t="shared" si="24"/>
        <v>1299</v>
      </c>
      <c r="H396" s="24" t="str">
        <f>PROPER(TRIM(Raw_Data!H410))</f>
        <v>Vikram Nair</v>
      </c>
      <c r="I396" s="24" t="str">
        <f>PROPER(TRIM(Raw_Data!I410))</f>
        <v>Mumbai</v>
      </c>
      <c r="J396" s="24" t="str">
        <f>TRIM(Raw_Data!J410)</f>
        <v>UPI</v>
      </c>
      <c r="K396" s="24" t="str">
        <f>PROPER(TRIM(Raw_Data!K410))</f>
        <v>Delivered</v>
      </c>
      <c r="L396" s="24" t="str">
        <f t="shared" si="25"/>
        <v>Sep</v>
      </c>
      <c r="M396" s="24" t="str">
        <f t="shared" si="26"/>
        <v>Wed</v>
      </c>
      <c r="N396" s="24" t="str">
        <f t="shared" si="27"/>
        <v>Delivered</v>
      </c>
      <c r="O396" s="24" t="str">
        <f>IF(ROUND(G396-Raw_Data!G410,2)=0,"OK","Corrected")</f>
        <v>OK</v>
      </c>
    </row>
    <row r="397" spans="1:15" x14ac:dyDescent="0.3">
      <c r="A397" s="24" t="str">
        <f>TRIM(Raw_Data!A411)</f>
        <v>AMZ-10399</v>
      </c>
      <c r="B397" s="25">
        <f>Raw_Data!B411</f>
        <v>46288</v>
      </c>
      <c r="C397" s="24" t="str">
        <f>PROPER(TRIM(Raw_Data!C411))</f>
        <v>Air Fryer</v>
      </c>
      <c r="D397" s="24" t="str">
        <f>TRIM(Raw_Data!D411)</f>
        <v>Home &amp; Kitchen</v>
      </c>
      <c r="E397" s="26">
        <f>Raw_Data!E411</f>
        <v>5999</v>
      </c>
      <c r="F397" s="24">
        <f>Raw_Data!F411</f>
        <v>1</v>
      </c>
      <c r="G397" s="26">
        <f t="shared" si="24"/>
        <v>5999</v>
      </c>
      <c r="H397" s="24" t="str">
        <f>PROPER(TRIM(Raw_Data!H411))</f>
        <v>Aarav Das</v>
      </c>
      <c r="I397" s="24" t="str">
        <f>PROPER(TRIM(Raw_Data!I411))</f>
        <v>Jaipur</v>
      </c>
      <c r="J397" s="24" t="str">
        <f>TRIM(Raw_Data!J411)</f>
        <v>UPI</v>
      </c>
      <c r="K397" s="24" t="str">
        <f>PROPER(TRIM(Raw_Data!K411))</f>
        <v>Delivered</v>
      </c>
      <c r="L397" s="24" t="str">
        <f t="shared" si="25"/>
        <v>Sep</v>
      </c>
      <c r="M397" s="24" t="str">
        <f t="shared" si="26"/>
        <v>Wed</v>
      </c>
      <c r="N397" s="24" t="str">
        <f t="shared" si="27"/>
        <v>Delivered</v>
      </c>
      <c r="O397" s="24" t="str">
        <f>IF(ROUND(G397-Raw_Data!G411,2)=0,"OK","Corrected")</f>
        <v>OK</v>
      </c>
    </row>
    <row r="398" spans="1:15" x14ac:dyDescent="0.3">
      <c r="A398" s="24" t="str">
        <f>TRIM(Raw_Data!A412)</f>
        <v>AMZ-10406</v>
      </c>
      <c r="B398" s="25">
        <f>Raw_Data!B412</f>
        <v>46288</v>
      </c>
      <c r="C398" s="24" t="str">
        <f>PROPER(TRIM(Raw_Data!C412))</f>
        <v>Casual Sneakers</v>
      </c>
      <c r="D398" s="24" t="str">
        <f>TRIM(Raw_Data!D412)</f>
        <v>Footwear</v>
      </c>
      <c r="E398" s="26">
        <f>Raw_Data!E412</f>
        <v>2199</v>
      </c>
      <c r="F398" s="24">
        <f>Raw_Data!F412</f>
        <v>2</v>
      </c>
      <c r="G398" s="26">
        <f t="shared" si="24"/>
        <v>4398</v>
      </c>
      <c r="H398" s="24" t="str">
        <f>PROPER(TRIM(Raw_Data!H412))</f>
        <v>Tanvi Joshi</v>
      </c>
      <c r="I398" s="24" t="str">
        <f>PROPER(TRIM(Raw_Data!I412))</f>
        <v>Bangalore</v>
      </c>
      <c r="J398" s="24" t="str">
        <f>TRIM(Raw_Data!J412)</f>
        <v>Debit Card</v>
      </c>
      <c r="K398" s="24" t="str">
        <f>PROPER(TRIM(Raw_Data!K412))</f>
        <v>Delivered</v>
      </c>
      <c r="L398" s="24" t="str">
        <f t="shared" si="25"/>
        <v>Sep</v>
      </c>
      <c r="M398" s="24" t="str">
        <f t="shared" si="26"/>
        <v>Wed</v>
      </c>
      <c r="N398" s="24" t="str">
        <f t="shared" si="27"/>
        <v>Delivered</v>
      </c>
      <c r="O398" s="24" t="str">
        <f>IF(ROUND(G398-Raw_Data!G412,2)=0,"OK","Corrected")</f>
        <v>OK</v>
      </c>
    </row>
    <row r="399" spans="1:15" x14ac:dyDescent="0.3">
      <c r="A399" s="24" t="str">
        <f>TRIM(Raw_Data!A413)</f>
        <v>AMZ-10054</v>
      </c>
      <c r="B399" s="25">
        <f>Raw_Data!B413</f>
        <v>46289</v>
      </c>
      <c r="C399" s="24" t="str">
        <f>PROPER(TRIM(Raw_Data!C413))</f>
        <v>Sandals</v>
      </c>
      <c r="D399" s="24" t="str">
        <f>TRIM(Raw_Data!D413)</f>
        <v>Footwear</v>
      </c>
      <c r="E399" s="26">
        <f>Raw_Data!E413</f>
        <v>899</v>
      </c>
      <c r="F399" s="24">
        <f>Raw_Data!F413</f>
        <v>2</v>
      </c>
      <c r="G399" s="26">
        <f t="shared" si="24"/>
        <v>1798</v>
      </c>
      <c r="H399" s="24" t="str">
        <f>PROPER(TRIM(Raw_Data!H413))</f>
        <v>Tanvi Joshi</v>
      </c>
      <c r="I399" s="24" t="str">
        <f>PROPER(TRIM(Raw_Data!I413))</f>
        <v>Bangalore</v>
      </c>
      <c r="J399" s="24" t="str">
        <f>TRIM(Raw_Data!J413)</f>
        <v>UPI</v>
      </c>
      <c r="K399" s="24" t="str">
        <f>PROPER(TRIM(Raw_Data!K413))</f>
        <v>Delivered</v>
      </c>
      <c r="L399" s="24" t="str">
        <f t="shared" si="25"/>
        <v>Sep</v>
      </c>
      <c r="M399" s="24" t="str">
        <f t="shared" si="26"/>
        <v>Thu</v>
      </c>
      <c r="N399" s="24" t="str">
        <f t="shared" si="27"/>
        <v>Delivered</v>
      </c>
      <c r="O399" s="24" t="str">
        <f>IF(ROUND(G399-Raw_Data!G413,2)=0,"OK","Corrected")</f>
        <v>OK</v>
      </c>
    </row>
    <row r="400" spans="1:15" x14ac:dyDescent="0.3">
      <c r="A400" s="24" t="str">
        <f>TRIM(Raw_Data!A414)</f>
        <v>AMZ-10097</v>
      </c>
      <c r="B400" s="25">
        <f>Raw_Data!B414</f>
        <v>46289</v>
      </c>
      <c r="C400" s="24" t="str">
        <f>PROPER(TRIM(Raw_Data!C414))</f>
        <v>Smart Watch</v>
      </c>
      <c r="D400" s="24" t="str">
        <f>TRIM(Raw_Data!D414)</f>
        <v>Electronics</v>
      </c>
      <c r="E400" s="26">
        <f>Raw_Data!E414</f>
        <v>4999</v>
      </c>
      <c r="F400" s="24">
        <f>Raw_Data!F414</f>
        <v>1</v>
      </c>
      <c r="G400" s="26">
        <f t="shared" si="24"/>
        <v>4999</v>
      </c>
      <c r="H400" s="24" t="str">
        <f>PROPER(TRIM(Raw_Data!H414))</f>
        <v>Anjali Mehta</v>
      </c>
      <c r="I400" s="24" t="str">
        <f>PROPER(TRIM(Raw_Data!I414))</f>
        <v>Mumbai</v>
      </c>
      <c r="J400" s="24" t="str">
        <f>TRIM(Raw_Data!J414)</f>
        <v>Credit Card</v>
      </c>
      <c r="K400" s="24" t="str">
        <f>PROPER(TRIM(Raw_Data!K414))</f>
        <v>Cancelled</v>
      </c>
      <c r="L400" s="24" t="str">
        <f t="shared" si="25"/>
        <v>Sep</v>
      </c>
      <c r="M400" s="24" t="str">
        <f t="shared" si="26"/>
        <v>Thu</v>
      </c>
      <c r="N400" s="24" t="str">
        <f t="shared" si="27"/>
        <v>Cancelled</v>
      </c>
      <c r="O400" s="24" t="str">
        <f>IF(ROUND(G400-Raw_Data!G414,2)=0,"OK","Corrected")</f>
        <v>OK</v>
      </c>
    </row>
    <row r="401" spans="1:15" x14ac:dyDescent="0.3">
      <c r="A401" s="24" t="str">
        <f>TRIM(Raw_Data!A415)</f>
        <v>AMZ-10158</v>
      </c>
      <c r="B401" s="25">
        <f>Raw_Data!B415</f>
        <v>46289</v>
      </c>
      <c r="C401" s="24" t="str">
        <f>PROPER(TRIM(Raw_Data!C415))</f>
        <v>Smart Watch</v>
      </c>
      <c r="D401" s="24" t="str">
        <f>TRIM(Raw_Data!D415)</f>
        <v>Electronics</v>
      </c>
      <c r="E401" s="26">
        <f>Raw_Data!E415</f>
        <v>4999</v>
      </c>
      <c r="F401" s="24">
        <f>Raw_Data!F415</f>
        <v>3</v>
      </c>
      <c r="G401" s="26">
        <f t="shared" si="24"/>
        <v>14997</v>
      </c>
      <c r="H401" s="24" t="str">
        <f>PROPER(TRIM(Raw_Data!H415))</f>
        <v>Kavya Rao</v>
      </c>
      <c r="I401" s="24" t="str">
        <f>PROPER(TRIM(Raw_Data!I415))</f>
        <v>Bangalore</v>
      </c>
      <c r="J401" s="24" t="str">
        <f>TRIM(Raw_Data!J415)</f>
        <v>Credit Card</v>
      </c>
      <c r="K401" s="24" t="str">
        <f>PROPER(TRIM(Raw_Data!K415))</f>
        <v>Delivered</v>
      </c>
      <c r="L401" s="24" t="str">
        <f t="shared" si="25"/>
        <v>Sep</v>
      </c>
      <c r="M401" s="24" t="str">
        <f t="shared" si="26"/>
        <v>Thu</v>
      </c>
      <c r="N401" s="24" t="str">
        <f t="shared" si="27"/>
        <v>Delivered</v>
      </c>
      <c r="O401" s="24" t="str">
        <f>IF(ROUND(G401-Raw_Data!G415,2)=0,"OK","Corrected")</f>
        <v>OK</v>
      </c>
    </row>
    <row r="402" spans="1:15" x14ac:dyDescent="0.3">
      <c r="A402" s="24" t="str">
        <f>TRIM(Raw_Data!A416)</f>
        <v>AMZ-10169</v>
      </c>
      <c r="B402" s="25">
        <f>Raw_Data!B416</f>
        <v>46289</v>
      </c>
      <c r="C402" s="24" t="str">
        <f>PROPER(TRIM(Raw_Data!C416))</f>
        <v>Water Bottle</v>
      </c>
      <c r="D402" s="24" t="str">
        <f>TRIM(Raw_Data!D416)</f>
        <v>Home &amp; Kitchen</v>
      </c>
      <c r="E402" s="26">
        <f>Raw_Data!E416</f>
        <v>499</v>
      </c>
      <c r="F402" s="24">
        <f>Raw_Data!F416</f>
        <v>1</v>
      </c>
      <c r="G402" s="26">
        <f t="shared" si="24"/>
        <v>499</v>
      </c>
      <c r="H402" s="24" t="str">
        <f>PROPER(TRIM(Raw_Data!H416))</f>
        <v>Priya Joshi</v>
      </c>
      <c r="I402" s="24" t="str">
        <f>PROPER(TRIM(Raw_Data!I416))</f>
        <v>Delhi</v>
      </c>
      <c r="J402" s="24" t="str">
        <f>TRIM(Raw_Data!J416)</f>
        <v>Debit Card</v>
      </c>
      <c r="K402" s="24" t="str">
        <f>PROPER(TRIM(Raw_Data!K416))</f>
        <v>Pending</v>
      </c>
      <c r="L402" s="24" t="str">
        <f t="shared" si="25"/>
        <v>Sep</v>
      </c>
      <c r="M402" s="24" t="str">
        <f t="shared" si="26"/>
        <v>Thu</v>
      </c>
      <c r="N402" s="24" t="str">
        <f t="shared" si="27"/>
        <v>Pending</v>
      </c>
      <c r="O402" s="24" t="str">
        <f>IF(ROUND(G402-Raw_Data!G416,2)=0,"OK","Corrected")</f>
        <v>Corrected</v>
      </c>
    </row>
    <row r="403" spans="1:15" x14ac:dyDescent="0.3">
      <c r="A403" s="24" t="str">
        <f>TRIM(Raw_Data!A417)</f>
        <v>AMZ-10181</v>
      </c>
      <c r="B403" s="25">
        <f>Raw_Data!B417</f>
        <v>46289</v>
      </c>
      <c r="C403" s="24" t="str">
        <f>PROPER(TRIM(Raw_Data!C417))</f>
        <v>Sandals</v>
      </c>
      <c r="D403" s="24" t="str">
        <f>TRIM(Raw_Data!D417)</f>
        <v>Footwear</v>
      </c>
      <c r="E403" s="26">
        <f>Raw_Data!E417</f>
        <v>899</v>
      </c>
      <c r="F403" s="24">
        <f>Raw_Data!F417</f>
        <v>3</v>
      </c>
      <c r="G403" s="26">
        <f t="shared" si="24"/>
        <v>2697</v>
      </c>
      <c r="H403" s="24" t="str">
        <f>PROPER(TRIM(Raw_Data!H417))</f>
        <v>Aditya Iyer</v>
      </c>
      <c r="I403" s="24" t="str">
        <f>PROPER(TRIM(Raw_Data!I417))</f>
        <v>Mumbai</v>
      </c>
      <c r="J403" s="24" t="str">
        <f>TRIM(Raw_Data!J417)</f>
        <v>Cash On Delivery</v>
      </c>
      <c r="K403" s="24" t="str">
        <f>PROPER(TRIM(Raw_Data!K417))</f>
        <v>Cancelled</v>
      </c>
      <c r="L403" s="24" t="str">
        <f t="shared" si="25"/>
        <v>Sep</v>
      </c>
      <c r="M403" s="24" t="str">
        <f t="shared" si="26"/>
        <v>Thu</v>
      </c>
      <c r="N403" s="24" t="str">
        <f t="shared" si="27"/>
        <v>Cancelled</v>
      </c>
      <c r="O403" s="24" t="str">
        <f>IF(ROUND(G403-Raw_Data!G417,2)=0,"OK","Corrected")</f>
        <v>OK</v>
      </c>
    </row>
    <row r="404" spans="1:15" x14ac:dyDescent="0.3">
      <c r="A404" s="24" t="str">
        <f>TRIM(Raw_Data!A418)</f>
        <v>AMZ-10190</v>
      </c>
      <c r="B404" s="25">
        <f>Raw_Data!B418</f>
        <v>46289</v>
      </c>
      <c r="C404" s="24" t="str">
        <f>PROPER(TRIM(Raw_Data!C418))</f>
        <v>Wireless Earbuds</v>
      </c>
      <c r="D404" s="24" t="str">
        <f>TRIM(Raw_Data!D418)</f>
        <v>Electronics</v>
      </c>
      <c r="E404" s="26">
        <f>Raw_Data!E418</f>
        <v>2499</v>
      </c>
      <c r="F404" s="24">
        <f>Raw_Data!F418</f>
        <v>1</v>
      </c>
      <c r="G404" s="26">
        <f t="shared" si="24"/>
        <v>2499</v>
      </c>
      <c r="H404" s="24" t="str">
        <f>PROPER(TRIM(Raw_Data!H418))</f>
        <v>Suresh Nair</v>
      </c>
      <c r="I404" s="24" t="str">
        <f>PROPER(TRIM(Raw_Data!I418))</f>
        <v>Bangalore</v>
      </c>
      <c r="J404" s="24" t="str">
        <f>TRIM(Raw_Data!J418)</f>
        <v>UPI</v>
      </c>
      <c r="K404" s="24" t="str">
        <f>PROPER(TRIM(Raw_Data!K418))</f>
        <v>Delivered</v>
      </c>
      <c r="L404" s="24" t="str">
        <f t="shared" si="25"/>
        <v>Sep</v>
      </c>
      <c r="M404" s="24" t="str">
        <f t="shared" si="26"/>
        <v>Thu</v>
      </c>
      <c r="N404" s="24" t="str">
        <f t="shared" si="27"/>
        <v>Delivered</v>
      </c>
      <c r="O404" s="24" t="str">
        <f>IF(ROUND(G404-Raw_Data!G418,2)=0,"OK","Corrected")</f>
        <v>OK</v>
      </c>
    </row>
    <row r="405" spans="1:15" x14ac:dyDescent="0.3">
      <c r="A405" s="24" t="str">
        <f>TRIM(Raw_Data!A419)</f>
        <v>AMZ-10199</v>
      </c>
      <c r="B405" s="25">
        <f>Raw_Data!B419</f>
        <v>46289</v>
      </c>
      <c r="C405" s="24" t="str">
        <f>PROPER(TRIM(Raw_Data!C419))</f>
        <v>Python Programming Book</v>
      </c>
      <c r="D405" s="24" t="str">
        <f>TRIM(Raw_Data!D419)</f>
        <v>Books</v>
      </c>
      <c r="E405" s="26">
        <f>Raw_Data!E419</f>
        <v>699</v>
      </c>
      <c r="F405" s="24">
        <f>Raw_Data!F419</f>
        <v>4</v>
      </c>
      <c r="G405" s="26">
        <f t="shared" si="24"/>
        <v>2796</v>
      </c>
      <c r="H405" s="24" t="str">
        <f>PROPER(TRIM(Raw_Data!H419))</f>
        <v>Aditya Sharma</v>
      </c>
      <c r="I405" s="24" t="str">
        <f>PROPER(TRIM(Raw_Data!I419))</f>
        <v>Ahmedabad</v>
      </c>
      <c r="J405" s="24" t="str">
        <f>TRIM(Raw_Data!J419)</f>
        <v>Credit Card</v>
      </c>
      <c r="K405" s="24" t="str">
        <f>PROPER(TRIM(Raw_Data!K419))</f>
        <v>Delivered</v>
      </c>
      <c r="L405" s="24" t="str">
        <f t="shared" si="25"/>
        <v>Sep</v>
      </c>
      <c r="M405" s="24" t="str">
        <f t="shared" si="26"/>
        <v>Thu</v>
      </c>
      <c r="N405" s="24" t="str">
        <f t="shared" si="27"/>
        <v>Delivered</v>
      </c>
      <c r="O405" s="24" t="str">
        <f>IF(ROUND(G405-Raw_Data!G419,2)=0,"OK","Corrected")</f>
        <v>OK</v>
      </c>
    </row>
    <row r="406" spans="1:15" x14ac:dyDescent="0.3">
      <c r="A406" s="24" t="str">
        <f>TRIM(Raw_Data!A420)</f>
        <v>AMZ-10200</v>
      </c>
      <c r="B406" s="25">
        <f>Raw_Data!B420</f>
        <v>46289</v>
      </c>
      <c r="C406" s="24" t="str">
        <f>PROPER(TRIM(Raw_Data!C420))</f>
        <v>Casual Sneakers</v>
      </c>
      <c r="D406" s="24" t="str">
        <f>TRIM(Raw_Data!D420)</f>
        <v>Footwear</v>
      </c>
      <c r="E406" s="26">
        <f>Raw_Data!E420</f>
        <v>2199</v>
      </c>
      <c r="F406" s="24">
        <f>Raw_Data!F420</f>
        <v>1</v>
      </c>
      <c r="G406" s="26">
        <f t="shared" si="24"/>
        <v>2199</v>
      </c>
      <c r="H406" s="24" t="str">
        <f>PROPER(TRIM(Raw_Data!H420))</f>
        <v>Kavya Patel</v>
      </c>
      <c r="I406" s="24" t="str">
        <f>PROPER(TRIM(Raw_Data!I420))</f>
        <v>Hyderabad</v>
      </c>
      <c r="J406" s="24" t="str">
        <f>TRIM(Raw_Data!J420)</f>
        <v>UPI</v>
      </c>
      <c r="K406" s="24" t="str">
        <f>PROPER(TRIM(Raw_Data!K420))</f>
        <v>Shipped</v>
      </c>
      <c r="L406" s="24" t="str">
        <f t="shared" si="25"/>
        <v>Sep</v>
      </c>
      <c r="M406" s="24" t="str">
        <f t="shared" si="26"/>
        <v>Thu</v>
      </c>
      <c r="N406" s="24" t="str">
        <f t="shared" si="27"/>
        <v>Pending</v>
      </c>
      <c r="O406" s="24" t="str">
        <f>IF(ROUND(G406-Raw_Data!G420,2)=0,"OK","Corrected")</f>
        <v>OK</v>
      </c>
    </row>
    <row r="407" spans="1:15" x14ac:dyDescent="0.3">
      <c r="A407" s="24" t="str">
        <f>TRIM(Raw_Data!A421)</f>
        <v>AMZ-10256</v>
      </c>
      <c r="B407" s="25">
        <f>Raw_Data!B421</f>
        <v>46289</v>
      </c>
      <c r="C407" s="24" t="str">
        <f>PROPER(TRIM(Raw_Data!C421))</f>
        <v>Water Bottle</v>
      </c>
      <c r="D407" s="24" t="str">
        <f>TRIM(Raw_Data!D421)</f>
        <v>Home &amp; Kitchen</v>
      </c>
      <c r="E407" s="26">
        <f>Raw_Data!E421</f>
        <v>499</v>
      </c>
      <c r="F407" s="24">
        <f>Raw_Data!F421</f>
        <v>4</v>
      </c>
      <c r="G407" s="26">
        <f t="shared" si="24"/>
        <v>1996</v>
      </c>
      <c r="H407" s="24" t="str">
        <f>PROPER(TRIM(Raw_Data!H421))</f>
        <v>Ishaan Singh</v>
      </c>
      <c r="I407" s="24" t="str">
        <f>PROPER(TRIM(Raw_Data!I421))</f>
        <v>Delhi</v>
      </c>
      <c r="J407" s="24" t="str">
        <f>TRIM(Raw_Data!J421)</f>
        <v>UPI</v>
      </c>
      <c r="K407" s="24" t="str">
        <f>PROPER(TRIM(Raw_Data!K421))</f>
        <v>Cancelled</v>
      </c>
      <c r="L407" s="24" t="str">
        <f t="shared" si="25"/>
        <v>Sep</v>
      </c>
      <c r="M407" s="24" t="str">
        <f t="shared" si="26"/>
        <v>Thu</v>
      </c>
      <c r="N407" s="24" t="str">
        <f t="shared" si="27"/>
        <v>Cancelled</v>
      </c>
      <c r="O407" s="24" t="str">
        <f>IF(ROUND(G407-Raw_Data!G421,2)=0,"OK","Corrected")</f>
        <v>OK</v>
      </c>
    </row>
    <row r="408" spans="1:15" x14ac:dyDescent="0.3">
      <c r="A408" s="24" t="str">
        <f>TRIM(Raw_Data!A422)</f>
        <v>AMZ-10268</v>
      </c>
      <c r="B408" s="25">
        <f>Raw_Data!B422</f>
        <v>46289</v>
      </c>
      <c r="C408" s="24" t="str">
        <f>PROPER(TRIM(Raw_Data!C422))</f>
        <v>Water Bottle</v>
      </c>
      <c r="D408" s="24" t="str">
        <f>TRIM(Raw_Data!D422)</f>
        <v>Home &amp; Kitchen</v>
      </c>
      <c r="E408" s="26">
        <f>Raw_Data!E422</f>
        <v>499</v>
      </c>
      <c r="F408" s="24">
        <f>Raw_Data!F422</f>
        <v>1</v>
      </c>
      <c r="G408" s="26">
        <f t="shared" si="24"/>
        <v>499</v>
      </c>
      <c r="H408" s="24" t="str">
        <f>PROPER(TRIM(Raw_Data!H422))</f>
        <v>Aditya Iyer</v>
      </c>
      <c r="I408" s="24" t="str">
        <f>PROPER(TRIM(Raw_Data!I422))</f>
        <v>Mumbai</v>
      </c>
      <c r="J408" s="24" t="str">
        <f>TRIM(Raw_Data!J422)</f>
        <v>Cash On Delivery</v>
      </c>
      <c r="K408" s="24" t="str">
        <f>PROPER(TRIM(Raw_Data!K422))</f>
        <v>Delivered</v>
      </c>
      <c r="L408" s="24" t="str">
        <f t="shared" si="25"/>
        <v>Sep</v>
      </c>
      <c r="M408" s="24" t="str">
        <f t="shared" si="26"/>
        <v>Thu</v>
      </c>
      <c r="N408" s="24" t="str">
        <f t="shared" si="27"/>
        <v>Delivered</v>
      </c>
      <c r="O408" s="24" t="str">
        <f>IF(ROUND(G408-Raw_Data!G422,2)=0,"OK","Corrected")</f>
        <v>OK</v>
      </c>
    </row>
    <row r="409" spans="1:15" x14ac:dyDescent="0.3">
      <c r="A409" s="24" t="str">
        <f>TRIM(Raw_Data!A423)</f>
        <v>AMZ-10304</v>
      </c>
      <c r="B409" s="25">
        <f>Raw_Data!B423</f>
        <v>46289</v>
      </c>
      <c r="C409" s="24" t="str">
        <f>PROPER(TRIM(Raw_Data!C423))</f>
        <v>Smart Watch</v>
      </c>
      <c r="D409" s="24" t="str">
        <f>TRIM(Raw_Data!D423)</f>
        <v>Electronics</v>
      </c>
      <c r="E409" s="26">
        <f>Raw_Data!E423</f>
        <v>4999</v>
      </c>
      <c r="F409" s="24">
        <f>Raw_Data!F423</f>
        <v>1</v>
      </c>
      <c r="G409" s="26">
        <f t="shared" si="24"/>
        <v>4999</v>
      </c>
      <c r="H409" s="24" t="str">
        <f>PROPER(TRIM(Raw_Data!H423))</f>
        <v>Ishaan Singh</v>
      </c>
      <c r="I409" s="24" t="str">
        <f>PROPER(TRIM(Raw_Data!I423))</f>
        <v>Delhi</v>
      </c>
      <c r="J409" s="24" t="str">
        <f>TRIM(Raw_Data!J423)</f>
        <v>UPI</v>
      </c>
      <c r="K409" s="24" t="str">
        <f>PROPER(TRIM(Raw_Data!K423))</f>
        <v>Delivered</v>
      </c>
      <c r="L409" s="24" t="str">
        <f t="shared" si="25"/>
        <v>Sep</v>
      </c>
      <c r="M409" s="24" t="str">
        <f t="shared" si="26"/>
        <v>Thu</v>
      </c>
      <c r="N409" s="24" t="str">
        <f t="shared" si="27"/>
        <v>Delivered</v>
      </c>
      <c r="O409" s="24" t="str">
        <f>IF(ROUND(G409-Raw_Data!G423,2)=0,"OK","Corrected")</f>
        <v>OK</v>
      </c>
    </row>
    <row r="410" spans="1:15" x14ac:dyDescent="0.3">
      <c r="A410" s="24" t="str">
        <f>TRIM(Raw_Data!A424)</f>
        <v>AMZ-10315</v>
      </c>
      <c r="B410" s="25">
        <f>Raw_Data!B424</f>
        <v>46289</v>
      </c>
      <c r="C410" s="24" t="str">
        <f>PROPER(TRIM(Raw_Data!C424))</f>
        <v>Denim Jeans</v>
      </c>
      <c r="D410" s="24" t="str">
        <f>TRIM(Raw_Data!D424)</f>
        <v>Clothing</v>
      </c>
      <c r="E410" s="26">
        <f>Raw_Data!E424</f>
        <v>1799</v>
      </c>
      <c r="F410" s="24">
        <f>Raw_Data!F424</f>
        <v>1</v>
      </c>
      <c r="G410" s="26">
        <f t="shared" si="24"/>
        <v>1799</v>
      </c>
      <c r="H410" s="24" t="str">
        <f>PROPER(TRIM(Raw_Data!H424))</f>
        <v>Ishaan Chopra</v>
      </c>
      <c r="I410" s="24" t="str">
        <f>PROPER(TRIM(Raw_Data!I424))</f>
        <v>Mumbai</v>
      </c>
      <c r="J410" s="24" t="str">
        <f>TRIM(Raw_Data!J424)</f>
        <v>UPI</v>
      </c>
      <c r="K410" s="24" t="str">
        <f>PROPER(TRIM(Raw_Data!K424))</f>
        <v>Delivered</v>
      </c>
      <c r="L410" s="24" t="str">
        <f t="shared" si="25"/>
        <v>Sep</v>
      </c>
      <c r="M410" s="24" t="str">
        <f t="shared" si="26"/>
        <v>Thu</v>
      </c>
      <c r="N410" s="24" t="str">
        <f t="shared" si="27"/>
        <v>Delivered</v>
      </c>
      <c r="O410" s="24" t="str">
        <f>IF(ROUND(G410-Raw_Data!G424,2)=0,"OK","Corrected")</f>
        <v>OK</v>
      </c>
    </row>
    <row r="411" spans="1:15" x14ac:dyDescent="0.3">
      <c r="A411" s="24" t="str">
        <f>TRIM(Raw_Data!A425)</f>
        <v>AMZ-10393</v>
      </c>
      <c r="B411" s="25">
        <f>Raw_Data!B425</f>
        <v>46289</v>
      </c>
      <c r="C411" s="24" t="str">
        <f>PROPER(TRIM(Raw_Data!C425))</f>
        <v>Air Fryer</v>
      </c>
      <c r="D411" s="24" t="str">
        <f>TRIM(Raw_Data!D425)</f>
        <v>Home &amp; Kitchen</v>
      </c>
      <c r="E411" s="26">
        <f>Raw_Data!E425</f>
        <v>5999</v>
      </c>
      <c r="F411" s="24">
        <f>Raw_Data!F425</f>
        <v>1</v>
      </c>
      <c r="G411" s="26">
        <f t="shared" si="24"/>
        <v>5999</v>
      </c>
      <c r="H411" s="24" t="str">
        <f>PROPER(TRIM(Raw_Data!H425))</f>
        <v>Pooja Iyer</v>
      </c>
      <c r="I411" s="24" t="str">
        <f>PROPER(TRIM(Raw_Data!I425))</f>
        <v>Mumbai</v>
      </c>
      <c r="J411" s="24" t="str">
        <f>TRIM(Raw_Data!J425)</f>
        <v>UPI</v>
      </c>
      <c r="K411" s="24" t="str">
        <f>PROPER(TRIM(Raw_Data!K425))</f>
        <v>Shipped</v>
      </c>
      <c r="L411" s="24" t="str">
        <f t="shared" si="25"/>
        <v>Sep</v>
      </c>
      <c r="M411" s="24" t="str">
        <f t="shared" si="26"/>
        <v>Thu</v>
      </c>
      <c r="N411" s="24" t="str">
        <f t="shared" si="27"/>
        <v>Pending</v>
      </c>
      <c r="O411" s="24" t="str">
        <f>IF(ROUND(G411-Raw_Data!G425,2)=0,"OK","Corrected")</f>
        <v>OK</v>
      </c>
    </row>
    <row r="412" spans="1:15" x14ac:dyDescent="0.3">
      <c r="A412" s="24" t="str">
        <f>TRIM(Raw_Data!A426)</f>
        <v>AMZ-10461</v>
      </c>
      <c r="B412" s="25">
        <f>Raw_Data!B426</f>
        <v>46289</v>
      </c>
      <c r="C412" s="24" t="str">
        <f>PROPER(TRIM(Raw_Data!C426))</f>
        <v>Self Help Book</v>
      </c>
      <c r="D412" s="24" t="str">
        <f>TRIM(Raw_Data!D426)</f>
        <v>Books</v>
      </c>
      <c r="E412" s="26">
        <f>Raw_Data!E426</f>
        <v>399</v>
      </c>
      <c r="F412" s="24">
        <f>Raw_Data!F426</f>
        <v>1</v>
      </c>
      <c r="G412" s="26">
        <f t="shared" si="24"/>
        <v>399</v>
      </c>
      <c r="H412" s="24" t="str">
        <f>PROPER(TRIM(Raw_Data!H426))</f>
        <v>Tanvi Verma</v>
      </c>
      <c r="I412" s="24" t="str">
        <f>PROPER(TRIM(Raw_Data!I426))</f>
        <v>Kolkata</v>
      </c>
      <c r="J412" s="24" t="str">
        <f>TRIM(Raw_Data!J426)</f>
        <v>Credit Card</v>
      </c>
      <c r="K412" s="24" t="str">
        <f>PROPER(TRIM(Raw_Data!K426))</f>
        <v>Delivered</v>
      </c>
      <c r="L412" s="24" t="str">
        <f t="shared" si="25"/>
        <v>Sep</v>
      </c>
      <c r="M412" s="24" t="str">
        <f t="shared" si="26"/>
        <v>Thu</v>
      </c>
      <c r="N412" s="24" t="str">
        <f t="shared" si="27"/>
        <v>Delivered</v>
      </c>
      <c r="O412" s="24" t="str">
        <f>IF(ROUND(G412-Raw_Data!G426,2)=0,"OK","Corrected")</f>
        <v>OK</v>
      </c>
    </row>
    <row r="413" spans="1:15" x14ac:dyDescent="0.3">
      <c r="A413" s="24" t="str">
        <f>TRIM(Raw_Data!A427)</f>
        <v>AMZ-10118</v>
      </c>
      <c r="B413" s="25">
        <f>Raw_Data!B427</f>
        <v>46290</v>
      </c>
      <c r="C413" s="24" t="str">
        <f>PROPER(TRIM(Raw_Data!C427))</f>
        <v>Water Bottle</v>
      </c>
      <c r="D413" s="24" t="str">
        <f>TRIM(Raw_Data!D427)</f>
        <v>Home &amp; Kitchen</v>
      </c>
      <c r="E413" s="26">
        <f>Raw_Data!E427</f>
        <v>499</v>
      </c>
      <c r="F413" s="24">
        <f>Raw_Data!F427</f>
        <v>1</v>
      </c>
      <c r="G413" s="26">
        <f t="shared" si="24"/>
        <v>499</v>
      </c>
      <c r="H413" s="24" t="str">
        <f>PROPER(TRIM(Raw_Data!H427))</f>
        <v>Aditya Iyer</v>
      </c>
      <c r="I413" s="24" t="str">
        <f>PROPER(TRIM(Raw_Data!I427))</f>
        <v>Mumbai</v>
      </c>
      <c r="J413" s="24" t="str">
        <f>TRIM(Raw_Data!J427)</f>
        <v>Debit Card</v>
      </c>
      <c r="K413" s="24" t="str">
        <f>PROPER(TRIM(Raw_Data!K427))</f>
        <v>Delivered</v>
      </c>
      <c r="L413" s="24" t="str">
        <f t="shared" si="25"/>
        <v>Sep</v>
      </c>
      <c r="M413" s="24" t="str">
        <f t="shared" si="26"/>
        <v>Fri</v>
      </c>
      <c r="N413" s="24" t="str">
        <f t="shared" si="27"/>
        <v>Delivered</v>
      </c>
      <c r="O413" s="24" t="str">
        <f>IF(ROUND(G413-Raw_Data!G427,2)=0,"OK","Corrected")</f>
        <v>OK</v>
      </c>
    </row>
    <row r="414" spans="1:15" x14ac:dyDescent="0.3">
      <c r="A414" s="24" t="str">
        <f>TRIM(Raw_Data!A428)</f>
        <v>AMZ-10175</v>
      </c>
      <c r="B414" s="25">
        <f>Raw_Data!B428</f>
        <v>46290</v>
      </c>
      <c r="C414" s="24" t="str">
        <f>PROPER(TRIM(Raw_Data!C428))</f>
        <v>Self Help Book</v>
      </c>
      <c r="D414" s="24" t="str">
        <f>TRIM(Raw_Data!D428)</f>
        <v>Books</v>
      </c>
      <c r="E414" s="26">
        <f>Raw_Data!E428</f>
        <v>399</v>
      </c>
      <c r="F414" s="24">
        <f>Raw_Data!F428</f>
        <v>1</v>
      </c>
      <c r="G414" s="26">
        <f t="shared" si="24"/>
        <v>399</v>
      </c>
      <c r="H414" s="24" t="str">
        <f>PROPER(TRIM(Raw_Data!H428))</f>
        <v>Vikram Joshi</v>
      </c>
      <c r="I414" s="24" t="str">
        <f>PROPER(TRIM(Raw_Data!I428))</f>
        <v>Hyderabad</v>
      </c>
      <c r="J414" s="24" t="str">
        <f>TRIM(Raw_Data!J428)</f>
        <v>Credit Card</v>
      </c>
      <c r="K414" s="24" t="str">
        <f>PROPER(TRIM(Raw_Data!K428))</f>
        <v>Delivered</v>
      </c>
      <c r="L414" s="24" t="str">
        <f t="shared" si="25"/>
        <v>Sep</v>
      </c>
      <c r="M414" s="24" t="str">
        <f t="shared" si="26"/>
        <v>Fri</v>
      </c>
      <c r="N414" s="24" t="str">
        <f t="shared" si="27"/>
        <v>Delivered</v>
      </c>
      <c r="O414" s="24" t="str">
        <f>IF(ROUND(G414-Raw_Data!G428,2)=0,"OK","Corrected")</f>
        <v>OK</v>
      </c>
    </row>
    <row r="415" spans="1:15" x14ac:dyDescent="0.3">
      <c r="A415" s="24" t="str">
        <f>TRIM(Raw_Data!A429)</f>
        <v>AMZ-10205</v>
      </c>
      <c r="B415" s="25">
        <f>Raw_Data!B429</f>
        <v>46290</v>
      </c>
      <c r="C415" s="24" t="str">
        <f>PROPER(TRIM(Raw_Data!C429))</f>
        <v>Wireless Earbuds</v>
      </c>
      <c r="D415" s="24" t="str">
        <f>TRIM(Raw_Data!D429)</f>
        <v>Electronics</v>
      </c>
      <c r="E415" s="26">
        <f>Raw_Data!E429</f>
        <v>2499</v>
      </c>
      <c r="F415" s="24">
        <f>Raw_Data!F429</f>
        <v>1</v>
      </c>
      <c r="G415" s="26">
        <f t="shared" si="24"/>
        <v>2499</v>
      </c>
      <c r="H415" s="24" t="str">
        <f>PROPER(TRIM(Raw_Data!H429))</f>
        <v>Divya Singh</v>
      </c>
      <c r="I415" s="24" t="str">
        <f>PROPER(TRIM(Raw_Data!I429))</f>
        <v>Delhi</v>
      </c>
      <c r="J415" s="24" t="str">
        <f>TRIM(Raw_Data!J429)</f>
        <v>UPI</v>
      </c>
      <c r="K415" s="24" t="str">
        <f>PROPER(TRIM(Raw_Data!K429))</f>
        <v>Delivered</v>
      </c>
      <c r="L415" s="24" t="str">
        <f t="shared" si="25"/>
        <v>Sep</v>
      </c>
      <c r="M415" s="24" t="str">
        <f t="shared" si="26"/>
        <v>Fri</v>
      </c>
      <c r="N415" s="24" t="str">
        <f t="shared" si="27"/>
        <v>Delivered</v>
      </c>
      <c r="O415" s="24" t="str">
        <f>IF(ROUND(G415-Raw_Data!G429,2)=0,"OK","Corrected")</f>
        <v>OK</v>
      </c>
    </row>
    <row r="416" spans="1:15" x14ac:dyDescent="0.3">
      <c r="A416" s="24" t="str">
        <f>TRIM(Raw_Data!A430)</f>
        <v>AMZ-10215</v>
      </c>
      <c r="B416" s="25">
        <f>Raw_Data!B430</f>
        <v>46290</v>
      </c>
      <c r="C416" s="24" t="str">
        <f>PROPER(TRIM(Raw_Data!C430))</f>
        <v>Power Bank</v>
      </c>
      <c r="D416" s="24" t="str">
        <f>TRIM(Raw_Data!D430)</f>
        <v>Electronics</v>
      </c>
      <c r="E416" s="26">
        <f>Raw_Data!E430</f>
        <v>1299</v>
      </c>
      <c r="F416" s="24">
        <f>Raw_Data!F430</f>
        <v>1</v>
      </c>
      <c r="G416" s="26">
        <f t="shared" si="24"/>
        <v>1299</v>
      </c>
      <c r="H416" s="24" t="str">
        <f>PROPER(TRIM(Raw_Data!H430))</f>
        <v>Arjun Chopra</v>
      </c>
      <c r="I416" s="24" t="str">
        <f>PROPER(TRIM(Raw_Data!I430))</f>
        <v>Bangalore</v>
      </c>
      <c r="J416" s="24" t="str">
        <f>TRIM(Raw_Data!J430)</f>
        <v>Debit Card</v>
      </c>
      <c r="K416" s="24" t="str">
        <f>PROPER(TRIM(Raw_Data!K430))</f>
        <v>Delivered</v>
      </c>
      <c r="L416" s="24" t="str">
        <f t="shared" si="25"/>
        <v>Sep</v>
      </c>
      <c r="M416" s="24" t="str">
        <f t="shared" si="26"/>
        <v>Fri</v>
      </c>
      <c r="N416" s="24" t="str">
        <f t="shared" si="27"/>
        <v>Delivered</v>
      </c>
      <c r="O416" s="24" t="str">
        <f>IF(ROUND(G416-Raw_Data!G430,2)=0,"OK","Corrected")</f>
        <v>OK</v>
      </c>
    </row>
    <row r="417" spans="1:15" x14ac:dyDescent="0.3">
      <c r="A417" s="24" t="str">
        <f>TRIM(Raw_Data!A431)</f>
        <v>AMZ-10216</v>
      </c>
      <c r="B417" s="25">
        <f>Raw_Data!B431</f>
        <v>46290</v>
      </c>
      <c r="C417" s="24" t="str">
        <f>PROPER(TRIM(Raw_Data!C431))</f>
        <v>Denim Jeans</v>
      </c>
      <c r="D417" s="24" t="str">
        <f>TRIM(Raw_Data!D431)</f>
        <v>Clothing</v>
      </c>
      <c r="E417" s="26">
        <f>Raw_Data!E431</f>
        <v>1799</v>
      </c>
      <c r="F417" s="24">
        <f>Raw_Data!F431</f>
        <v>2</v>
      </c>
      <c r="G417" s="26">
        <f t="shared" si="24"/>
        <v>3598</v>
      </c>
      <c r="H417" s="24" t="str">
        <f>PROPER(TRIM(Raw_Data!H431))</f>
        <v>Nikhil Patel</v>
      </c>
      <c r="I417" s="24" t="str">
        <f>PROPER(TRIM(Raw_Data!I431))</f>
        <v>Hyderabad</v>
      </c>
      <c r="J417" s="24" t="str">
        <f>TRIM(Raw_Data!J431)</f>
        <v>Credit Card</v>
      </c>
      <c r="K417" s="24" t="str">
        <f>PROPER(TRIM(Raw_Data!K431))</f>
        <v>Delivered</v>
      </c>
      <c r="L417" s="24" t="str">
        <f t="shared" si="25"/>
        <v>Sep</v>
      </c>
      <c r="M417" s="24" t="str">
        <f t="shared" si="26"/>
        <v>Fri</v>
      </c>
      <c r="N417" s="24" t="str">
        <f t="shared" si="27"/>
        <v>Delivered</v>
      </c>
      <c r="O417" s="24" t="str">
        <f>IF(ROUND(G417-Raw_Data!G431,2)=0,"OK","Corrected")</f>
        <v>OK</v>
      </c>
    </row>
    <row r="418" spans="1:15" x14ac:dyDescent="0.3">
      <c r="A418" s="24" t="str">
        <f>TRIM(Raw_Data!A432)</f>
        <v>AMZ-10233</v>
      </c>
      <c r="B418" s="25">
        <f>Raw_Data!B432</f>
        <v>46290</v>
      </c>
      <c r="C418" s="24" t="str">
        <f>PROPER(TRIM(Raw_Data!C432))</f>
        <v>Power Bank</v>
      </c>
      <c r="D418" s="24" t="str">
        <f>TRIM(Raw_Data!D432)</f>
        <v>Electronics</v>
      </c>
      <c r="E418" s="26">
        <f>Raw_Data!E432</f>
        <v>1299</v>
      </c>
      <c r="F418" s="24">
        <f>Raw_Data!F432</f>
        <v>4</v>
      </c>
      <c r="G418" s="26">
        <f t="shared" si="24"/>
        <v>5196</v>
      </c>
      <c r="H418" s="24" t="str">
        <f>PROPER(TRIM(Raw_Data!H432))</f>
        <v>Meera Mehta</v>
      </c>
      <c r="I418" s="24" t="str">
        <f>PROPER(TRIM(Raw_Data!I432))</f>
        <v>Kolkata</v>
      </c>
      <c r="J418" s="24" t="str">
        <f>TRIM(Raw_Data!J432)</f>
        <v>Credit Card</v>
      </c>
      <c r="K418" s="24" t="str">
        <f>PROPER(TRIM(Raw_Data!K432))</f>
        <v>Delivered</v>
      </c>
      <c r="L418" s="24" t="str">
        <f t="shared" si="25"/>
        <v>Sep</v>
      </c>
      <c r="M418" s="24" t="str">
        <f t="shared" si="26"/>
        <v>Fri</v>
      </c>
      <c r="N418" s="24" t="str">
        <f t="shared" si="27"/>
        <v>Delivered</v>
      </c>
      <c r="O418" s="24" t="str">
        <f>IF(ROUND(G418-Raw_Data!G432,2)=0,"OK","Corrected")</f>
        <v>OK</v>
      </c>
    </row>
    <row r="419" spans="1:15" x14ac:dyDescent="0.3">
      <c r="A419" s="24" t="str">
        <f>TRIM(Raw_Data!A433)</f>
        <v>AMZ-10238</v>
      </c>
      <c r="B419" s="25">
        <f>Raw_Data!B433</f>
        <v>46290</v>
      </c>
      <c r="C419" s="24" t="str">
        <f>PROPER(TRIM(Raw_Data!C433))</f>
        <v>Power Bank</v>
      </c>
      <c r="D419" s="24" t="str">
        <f>TRIM(Raw_Data!D433)</f>
        <v>Electronics</v>
      </c>
      <c r="E419" s="26">
        <f>Raw_Data!E433</f>
        <v>1299</v>
      </c>
      <c r="F419" s="24">
        <f>Raw_Data!F433</f>
        <v>1</v>
      </c>
      <c r="G419" s="26">
        <f t="shared" si="24"/>
        <v>1299</v>
      </c>
      <c r="H419" s="24" t="str">
        <f>PROPER(TRIM(Raw_Data!H433))</f>
        <v>Kavya Gupta</v>
      </c>
      <c r="I419" s="24" t="str">
        <f>PROPER(TRIM(Raw_Data!I433))</f>
        <v>Hyderabad</v>
      </c>
      <c r="J419" s="24" t="str">
        <f>TRIM(Raw_Data!J433)</f>
        <v>Debit Card</v>
      </c>
      <c r="K419" s="24" t="str">
        <f>PROPER(TRIM(Raw_Data!K433))</f>
        <v>Delivered</v>
      </c>
      <c r="L419" s="24" t="str">
        <f t="shared" si="25"/>
        <v>Sep</v>
      </c>
      <c r="M419" s="24" t="str">
        <f t="shared" si="26"/>
        <v>Fri</v>
      </c>
      <c r="N419" s="24" t="str">
        <f t="shared" si="27"/>
        <v>Delivered</v>
      </c>
      <c r="O419" s="24" t="str">
        <f>IF(ROUND(G419-Raw_Data!G433,2)=0,"OK","Corrected")</f>
        <v>OK</v>
      </c>
    </row>
    <row r="420" spans="1:15" x14ac:dyDescent="0.3">
      <c r="A420" s="24" t="str">
        <f>TRIM(Raw_Data!A434)</f>
        <v>AMZ-10300</v>
      </c>
      <c r="B420" s="25">
        <f>Raw_Data!B434</f>
        <v>46290</v>
      </c>
      <c r="C420" s="24" t="str">
        <f>PROPER(TRIM(Raw_Data!C434))</f>
        <v>Denim Jeans</v>
      </c>
      <c r="D420" s="24" t="str">
        <f>TRIM(Raw_Data!D434)</f>
        <v>Clothing</v>
      </c>
      <c r="E420" s="26">
        <f>Raw_Data!E434</f>
        <v>1799</v>
      </c>
      <c r="F420" s="24">
        <f>Raw_Data!F434</f>
        <v>2</v>
      </c>
      <c r="G420" s="26">
        <f t="shared" si="24"/>
        <v>3598</v>
      </c>
      <c r="H420" s="24" t="str">
        <f>PROPER(TRIM(Raw_Data!H434))</f>
        <v>Arjun Verma</v>
      </c>
      <c r="I420" s="24" t="str">
        <f>PROPER(TRIM(Raw_Data!I434))</f>
        <v>Pune</v>
      </c>
      <c r="J420" s="24" t="str">
        <f>TRIM(Raw_Data!J434)</f>
        <v>UPI</v>
      </c>
      <c r="K420" s="24" t="str">
        <f>PROPER(TRIM(Raw_Data!K434))</f>
        <v>Shipped</v>
      </c>
      <c r="L420" s="24" t="str">
        <f t="shared" si="25"/>
        <v>Sep</v>
      </c>
      <c r="M420" s="24" t="str">
        <f t="shared" si="26"/>
        <v>Fri</v>
      </c>
      <c r="N420" s="24" t="str">
        <f t="shared" si="27"/>
        <v>Pending</v>
      </c>
      <c r="O420" s="24" t="str">
        <f>IF(ROUND(G420-Raw_Data!G434,2)=0,"OK","Corrected")</f>
        <v>OK</v>
      </c>
    </row>
    <row r="421" spans="1:15" x14ac:dyDescent="0.3">
      <c r="A421" s="24" t="str">
        <f>TRIM(Raw_Data!A435)</f>
        <v>AMZ-10323</v>
      </c>
      <c r="B421" s="25">
        <f>Raw_Data!B435</f>
        <v>46290</v>
      </c>
      <c r="C421" s="24" t="str">
        <f>PROPER(TRIM(Raw_Data!C435))</f>
        <v>Power Bank</v>
      </c>
      <c r="D421" s="24" t="str">
        <f>TRIM(Raw_Data!D435)</f>
        <v>Electronics</v>
      </c>
      <c r="E421" s="26">
        <f>Raw_Data!E435</f>
        <v>1299</v>
      </c>
      <c r="F421" s="24">
        <f>Raw_Data!F435</f>
        <v>1</v>
      </c>
      <c r="G421" s="26">
        <f t="shared" si="24"/>
        <v>1299</v>
      </c>
      <c r="H421" s="24" t="str">
        <f>PROPER(TRIM(Raw_Data!H435))</f>
        <v>Kavya Patel</v>
      </c>
      <c r="I421" s="24" t="str">
        <f>PROPER(TRIM(Raw_Data!I435))</f>
        <v>Hyderabad</v>
      </c>
      <c r="J421" s="24" t="str">
        <f>TRIM(Raw_Data!J435)</f>
        <v>UPI</v>
      </c>
      <c r="K421" s="24" t="str">
        <f>PROPER(TRIM(Raw_Data!K435))</f>
        <v>Delivered</v>
      </c>
      <c r="L421" s="24" t="str">
        <f t="shared" si="25"/>
        <v>Sep</v>
      </c>
      <c r="M421" s="24" t="str">
        <f t="shared" si="26"/>
        <v>Fri</v>
      </c>
      <c r="N421" s="24" t="str">
        <f t="shared" si="27"/>
        <v>Delivered</v>
      </c>
      <c r="O421" s="24" t="str">
        <f>IF(ROUND(G421-Raw_Data!G435,2)=0,"OK","Corrected")</f>
        <v>OK</v>
      </c>
    </row>
    <row r="422" spans="1:15" x14ac:dyDescent="0.3">
      <c r="A422" s="24" t="str">
        <f>TRIM(Raw_Data!A436)</f>
        <v>AMZ-10357</v>
      </c>
      <c r="B422" s="25">
        <f>Raw_Data!B436</f>
        <v>46290</v>
      </c>
      <c r="C422" s="24" t="str">
        <f>PROPER(TRIM(Raw_Data!C436))</f>
        <v>Sandals</v>
      </c>
      <c r="D422" s="24" t="str">
        <f>TRIM(Raw_Data!D436)</f>
        <v>Footwear</v>
      </c>
      <c r="E422" s="26">
        <f>Raw_Data!E436</f>
        <v>899</v>
      </c>
      <c r="F422" s="24">
        <f>Raw_Data!F436</f>
        <v>1</v>
      </c>
      <c r="G422" s="26">
        <f t="shared" si="24"/>
        <v>899</v>
      </c>
      <c r="H422" s="24" t="str">
        <f>PROPER(TRIM(Raw_Data!H436))</f>
        <v>Arjun Joshi</v>
      </c>
      <c r="I422" s="24" t="str">
        <f>PROPER(TRIM(Raw_Data!I436))</f>
        <v>Bangalore</v>
      </c>
      <c r="J422" s="24" t="str">
        <f>TRIM(Raw_Data!J436)</f>
        <v>UPI</v>
      </c>
      <c r="K422" s="24" t="str">
        <f>PROPER(TRIM(Raw_Data!K436))</f>
        <v>Delivered</v>
      </c>
      <c r="L422" s="24" t="str">
        <f t="shared" si="25"/>
        <v>Sep</v>
      </c>
      <c r="M422" s="24" t="str">
        <f t="shared" si="26"/>
        <v>Fri</v>
      </c>
      <c r="N422" s="24" t="str">
        <f t="shared" si="27"/>
        <v>Delivered</v>
      </c>
      <c r="O422" s="24" t="str">
        <f>IF(ROUND(G422-Raw_Data!G436,2)=0,"OK","Corrected")</f>
        <v>OK</v>
      </c>
    </row>
    <row r="423" spans="1:15" x14ac:dyDescent="0.3">
      <c r="A423" s="24" t="str">
        <f>TRIM(Raw_Data!A437)</f>
        <v>AMZ-10377</v>
      </c>
      <c r="B423" s="25">
        <f>Raw_Data!B437</f>
        <v>46290</v>
      </c>
      <c r="C423" s="24" t="str">
        <f>PROPER(TRIM(Raw_Data!C437))</f>
        <v>Wireless Earbuds</v>
      </c>
      <c r="D423" s="24" t="str">
        <f>TRIM(Raw_Data!D437)</f>
        <v>Electronics</v>
      </c>
      <c r="E423" s="26">
        <f>Raw_Data!E437</f>
        <v>2499</v>
      </c>
      <c r="F423" s="24">
        <f>Raw_Data!F437</f>
        <v>1</v>
      </c>
      <c r="G423" s="26">
        <f t="shared" si="24"/>
        <v>2499</v>
      </c>
      <c r="H423" s="24" t="str">
        <f>PROPER(TRIM(Raw_Data!H437))</f>
        <v>Tanvi Verma</v>
      </c>
      <c r="I423" s="24" t="str">
        <f>PROPER(TRIM(Raw_Data!I437))</f>
        <v>Kolkata</v>
      </c>
      <c r="J423" s="24" t="str">
        <f>TRIM(Raw_Data!J437)</f>
        <v>Credit Card</v>
      </c>
      <c r="K423" s="24" t="str">
        <f>PROPER(TRIM(Raw_Data!K437))</f>
        <v>Delivered</v>
      </c>
      <c r="L423" s="24" t="str">
        <f t="shared" si="25"/>
        <v>Sep</v>
      </c>
      <c r="M423" s="24" t="str">
        <f t="shared" si="26"/>
        <v>Fri</v>
      </c>
      <c r="N423" s="24" t="str">
        <f t="shared" si="27"/>
        <v>Delivered</v>
      </c>
      <c r="O423" s="24" t="str">
        <f>IF(ROUND(G423-Raw_Data!G437,2)=0,"OK","Corrected")</f>
        <v>OK</v>
      </c>
    </row>
    <row r="424" spans="1:15" x14ac:dyDescent="0.3">
      <c r="A424" s="24" t="str">
        <f>TRIM(Raw_Data!A438)</f>
        <v>AMZ-10408</v>
      </c>
      <c r="B424" s="25">
        <f>Raw_Data!B438</f>
        <v>46290</v>
      </c>
      <c r="C424" s="24" t="str">
        <f>PROPER(TRIM(Raw_Data!C438))</f>
        <v>Self Help Book</v>
      </c>
      <c r="D424" s="24" t="str">
        <f>TRIM(Raw_Data!D438)</f>
        <v>Books</v>
      </c>
      <c r="E424" s="26">
        <f>Raw_Data!E438</f>
        <v>399</v>
      </c>
      <c r="F424" s="24">
        <f>Raw_Data!F438</f>
        <v>4</v>
      </c>
      <c r="G424" s="26">
        <f t="shared" si="24"/>
        <v>1596</v>
      </c>
      <c r="H424" s="24" t="str">
        <f>PROPER(TRIM(Raw_Data!H438))</f>
        <v>Neha Mehta</v>
      </c>
      <c r="I424" s="24" t="str">
        <f>PROPER(TRIM(Raw_Data!I438))</f>
        <v>Lucknow</v>
      </c>
      <c r="J424" s="24" t="str">
        <f>TRIM(Raw_Data!J438)</f>
        <v>UPI</v>
      </c>
      <c r="K424" s="24" t="str">
        <f>PROPER(TRIM(Raw_Data!K438))</f>
        <v>Delivered</v>
      </c>
      <c r="L424" s="24" t="str">
        <f t="shared" si="25"/>
        <v>Sep</v>
      </c>
      <c r="M424" s="24" t="str">
        <f t="shared" si="26"/>
        <v>Fri</v>
      </c>
      <c r="N424" s="24" t="str">
        <f t="shared" si="27"/>
        <v>Delivered</v>
      </c>
      <c r="O424" s="24" t="str">
        <f>IF(ROUND(G424-Raw_Data!G438,2)=0,"OK","Corrected")</f>
        <v>OK</v>
      </c>
    </row>
    <row r="425" spans="1:15" x14ac:dyDescent="0.3">
      <c r="A425" s="24" t="str">
        <f>TRIM(Raw_Data!A439)</f>
        <v>AMZ-10433</v>
      </c>
      <c r="B425" s="25">
        <f>Raw_Data!B439</f>
        <v>46290</v>
      </c>
      <c r="C425" s="24" t="str">
        <f>PROPER(TRIM(Raw_Data!C439))</f>
        <v>Denim Jeans</v>
      </c>
      <c r="D425" s="24" t="str">
        <f>TRIM(Raw_Data!D439)</f>
        <v>Clothing</v>
      </c>
      <c r="E425" s="26">
        <f>Raw_Data!E439</f>
        <v>1799</v>
      </c>
      <c r="F425" s="24">
        <f>Raw_Data!F439</f>
        <v>2</v>
      </c>
      <c r="G425" s="26">
        <f t="shared" si="24"/>
        <v>3598</v>
      </c>
      <c r="H425" s="24" t="str">
        <f>PROPER(TRIM(Raw_Data!H439))</f>
        <v>Neha Mehta</v>
      </c>
      <c r="I425" s="24" t="str">
        <f>PROPER(TRIM(Raw_Data!I439))</f>
        <v>Lucknow</v>
      </c>
      <c r="J425" s="24" t="str">
        <f>TRIM(Raw_Data!J439)</f>
        <v>UPI</v>
      </c>
      <c r="K425" s="24" t="str">
        <f>PROPER(TRIM(Raw_Data!K439))</f>
        <v>Cancelled</v>
      </c>
      <c r="L425" s="24" t="str">
        <f t="shared" si="25"/>
        <v>Sep</v>
      </c>
      <c r="M425" s="24" t="str">
        <f t="shared" si="26"/>
        <v>Fri</v>
      </c>
      <c r="N425" s="24" t="str">
        <f t="shared" si="27"/>
        <v>Cancelled</v>
      </c>
      <c r="O425" s="24" t="str">
        <f>IF(ROUND(G425-Raw_Data!G439,2)=0,"OK","Corrected")</f>
        <v>OK</v>
      </c>
    </row>
    <row r="426" spans="1:15" x14ac:dyDescent="0.3">
      <c r="A426" s="24" t="str">
        <f>TRIM(Raw_Data!A440)</f>
        <v>AMZ-10456</v>
      </c>
      <c r="B426" s="25">
        <f>Raw_Data!B440</f>
        <v>46290</v>
      </c>
      <c r="C426" s="24" t="str">
        <f>PROPER(TRIM(Raw_Data!C440))</f>
        <v>Bluetooth Speaker</v>
      </c>
      <c r="D426" s="24" t="str">
        <f>TRIM(Raw_Data!D440)</f>
        <v>Electronics</v>
      </c>
      <c r="E426" s="26">
        <f>Raw_Data!E440</f>
        <v>1999</v>
      </c>
      <c r="F426" s="24">
        <f>Raw_Data!F440</f>
        <v>1</v>
      </c>
      <c r="G426" s="26">
        <f t="shared" si="24"/>
        <v>1999</v>
      </c>
      <c r="H426" s="24" t="str">
        <f>PROPER(TRIM(Raw_Data!H440))</f>
        <v>Suresh Nair</v>
      </c>
      <c r="I426" s="24" t="str">
        <f>PROPER(TRIM(Raw_Data!I440))</f>
        <v>Bangalore</v>
      </c>
      <c r="J426" s="24" t="str">
        <f>TRIM(Raw_Data!J440)</f>
        <v>Debit Card</v>
      </c>
      <c r="K426" s="24" t="str">
        <f>PROPER(TRIM(Raw_Data!K440))</f>
        <v>Delivered</v>
      </c>
      <c r="L426" s="24" t="str">
        <f t="shared" si="25"/>
        <v>Sep</v>
      </c>
      <c r="M426" s="24" t="str">
        <f t="shared" si="26"/>
        <v>Fri</v>
      </c>
      <c r="N426" s="24" t="str">
        <f t="shared" si="27"/>
        <v>Delivered</v>
      </c>
      <c r="O426" s="24" t="str">
        <f>IF(ROUND(G426-Raw_Data!G440,2)=0,"OK","Corrected")</f>
        <v>OK</v>
      </c>
    </row>
    <row r="427" spans="1:15" x14ac:dyDescent="0.3">
      <c r="A427" s="24" t="str">
        <f>TRIM(Raw_Data!A441)</f>
        <v>AMZ-10483</v>
      </c>
      <c r="B427" s="25">
        <f>Raw_Data!B441</f>
        <v>46290</v>
      </c>
      <c r="C427" s="24" t="str">
        <f>PROPER(TRIM(Raw_Data!C441))</f>
        <v>Power Bank</v>
      </c>
      <c r="D427" s="24" t="str">
        <f>TRIM(Raw_Data!D441)</f>
        <v>Electronics</v>
      </c>
      <c r="E427" s="26">
        <f>Raw_Data!E441</f>
        <v>1299</v>
      </c>
      <c r="F427" s="24">
        <f>Raw_Data!F441</f>
        <v>1</v>
      </c>
      <c r="G427" s="26">
        <f t="shared" si="24"/>
        <v>1299</v>
      </c>
      <c r="H427" s="24" t="str">
        <f>PROPER(TRIM(Raw_Data!H441))</f>
        <v>Vikram Iyer</v>
      </c>
      <c r="I427" s="24" t="str">
        <f>PROPER(TRIM(Raw_Data!I441))</f>
        <v>Bangalore</v>
      </c>
      <c r="J427" s="24" t="str">
        <f>TRIM(Raw_Data!J441)</f>
        <v>Cash On Delivery</v>
      </c>
      <c r="K427" s="24" t="str">
        <f>PROPER(TRIM(Raw_Data!K441))</f>
        <v>Delivered</v>
      </c>
      <c r="L427" s="24" t="str">
        <f t="shared" si="25"/>
        <v>Sep</v>
      </c>
      <c r="M427" s="24" t="str">
        <f t="shared" si="26"/>
        <v>Fri</v>
      </c>
      <c r="N427" s="24" t="str">
        <f t="shared" si="27"/>
        <v>Delivered</v>
      </c>
      <c r="O427" s="24" t="str">
        <f>IF(ROUND(G427-Raw_Data!G441,2)=0,"OK","Corrected")</f>
        <v>OK</v>
      </c>
    </row>
    <row r="428" spans="1:15" x14ac:dyDescent="0.3">
      <c r="A428" s="24" t="str">
        <f>TRIM(Raw_Data!A442)</f>
        <v>AMZ-10009</v>
      </c>
      <c r="B428" s="25">
        <f>Raw_Data!B442</f>
        <v>46291</v>
      </c>
      <c r="C428" s="24" t="str">
        <f>PROPER(TRIM(Raw_Data!C442))</f>
        <v>Mixer Grinder</v>
      </c>
      <c r="D428" s="24" t="str">
        <f>TRIM(Raw_Data!D442)</f>
        <v>Home &amp; Kitchen</v>
      </c>
      <c r="E428" s="26">
        <f>Raw_Data!E442</f>
        <v>3499</v>
      </c>
      <c r="F428" s="24">
        <f>Raw_Data!F442</f>
        <v>1</v>
      </c>
      <c r="G428" s="26">
        <f t="shared" si="24"/>
        <v>3499</v>
      </c>
      <c r="H428" s="24" t="str">
        <f>PROPER(TRIM(Raw_Data!H442))</f>
        <v>Nikhil Rao</v>
      </c>
      <c r="I428" s="24" t="str">
        <f>PROPER(TRIM(Raw_Data!I442))</f>
        <v>Chennai</v>
      </c>
      <c r="J428" s="24" t="str">
        <f>TRIM(Raw_Data!J442)</f>
        <v>Credit Card</v>
      </c>
      <c r="K428" s="24" t="str">
        <f>PROPER(TRIM(Raw_Data!K442))</f>
        <v>Delivered</v>
      </c>
      <c r="L428" s="24" t="str">
        <f t="shared" si="25"/>
        <v>Sep</v>
      </c>
      <c r="M428" s="24" t="str">
        <f t="shared" si="26"/>
        <v>Sat</v>
      </c>
      <c r="N428" s="24" t="str">
        <f t="shared" si="27"/>
        <v>Delivered</v>
      </c>
      <c r="O428" s="24" t="str">
        <f>IF(ROUND(G428-Raw_Data!G442,2)=0,"OK","Corrected")</f>
        <v>OK</v>
      </c>
    </row>
    <row r="429" spans="1:15" x14ac:dyDescent="0.3">
      <c r="A429" s="24" t="str">
        <f>TRIM(Raw_Data!A443)</f>
        <v>AMZ-10017</v>
      </c>
      <c r="B429" s="25">
        <f>Raw_Data!B443</f>
        <v>46291</v>
      </c>
      <c r="C429" s="24" t="str">
        <f>PROPER(TRIM(Raw_Data!C443))</f>
        <v>Casual Sneakers</v>
      </c>
      <c r="D429" s="24" t="str">
        <f>TRIM(Raw_Data!D443)</f>
        <v>Footwear</v>
      </c>
      <c r="E429" s="26">
        <f>Raw_Data!E443</f>
        <v>2199</v>
      </c>
      <c r="F429" s="24">
        <f>Raw_Data!F443</f>
        <v>1</v>
      </c>
      <c r="G429" s="26">
        <f t="shared" si="24"/>
        <v>2199</v>
      </c>
      <c r="H429" s="24" t="str">
        <f>PROPER(TRIM(Raw_Data!H443))</f>
        <v>Suresh Das</v>
      </c>
      <c r="I429" s="24" t="str">
        <f>PROPER(TRIM(Raw_Data!I443))</f>
        <v>Bangalore</v>
      </c>
      <c r="J429" s="24" t="str">
        <f>TRIM(Raw_Data!J443)</f>
        <v>Credit Card</v>
      </c>
      <c r="K429" s="24" t="str">
        <f>PROPER(TRIM(Raw_Data!K443))</f>
        <v>Delivered</v>
      </c>
      <c r="L429" s="24" t="str">
        <f t="shared" si="25"/>
        <v>Sep</v>
      </c>
      <c r="M429" s="24" t="str">
        <f t="shared" si="26"/>
        <v>Sat</v>
      </c>
      <c r="N429" s="24" t="str">
        <f t="shared" si="27"/>
        <v>Delivered</v>
      </c>
      <c r="O429" s="24" t="str">
        <f>IF(ROUND(G429-Raw_Data!G443,2)=0,"OK","Corrected")</f>
        <v>OK</v>
      </c>
    </row>
    <row r="430" spans="1:15" x14ac:dyDescent="0.3">
      <c r="A430" s="24" t="str">
        <f>TRIM(Raw_Data!A444)</f>
        <v>AMZ-10027</v>
      </c>
      <c r="B430" s="25">
        <f>Raw_Data!B444</f>
        <v>46291</v>
      </c>
      <c r="C430" s="24" t="str">
        <f>PROPER(TRIM(Raw_Data!C444))</f>
        <v>Cotton T-Shirt</v>
      </c>
      <c r="D430" s="24" t="str">
        <f>TRIM(Raw_Data!D444)</f>
        <v>Clothing</v>
      </c>
      <c r="E430" s="26">
        <f>Raw_Data!E444</f>
        <v>599</v>
      </c>
      <c r="F430" s="24">
        <f>Raw_Data!F444</f>
        <v>2</v>
      </c>
      <c r="G430" s="26">
        <f t="shared" si="24"/>
        <v>1198</v>
      </c>
      <c r="H430" s="24" t="str">
        <f>PROPER(TRIM(Raw_Data!H444))</f>
        <v>Priya Patel</v>
      </c>
      <c r="I430" s="24" t="str">
        <f>PROPER(TRIM(Raw_Data!I444))</f>
        <v>Pune</v>
      </c>
      <c r="J430" s="24" t="str">
        <f>TRIM(Raw_Data!J444)</f>
        <v>Debit Card</v>
      </c>
      <c r="K430" s="24" t="str">
        <f>PROPER(TRIM(Raw_Data!K444))</f>
        <v>Delivered</v>
      </c>
      <c r="L430" s="24" t="str">
        <f t="shared" si="25"/>
        <v>Sep</v>
      </c>
      <c r="M430" s="24" t="str">
        <f t="shared" si="26"/>
        <v>Sat</v>
      </c>
      <c r="N430" s="24" t="str">
        <f t="shared" si="27"/>
        <v>Delivered</v>
      </c>
      <c r="O430" s="24" t="str">
        <f>IF(ROUND(G430-Raw_Data!G444,2)=0,"OK","Corrected")</f>
        <v>OK</v>
      </c>
    </row>
    <row r="431" spans="1:15" x14ac:dyDescent="0.3">
      <c r="A431" s="24" t="str">
        <f>TRIM(Raw_Data!A445)</f>
        <v>AMZ-10035</v>
      </c>
      <c r="B431" s="25">
        <f>Raw_Data!B445</f>
        <v>46291</v>
      </c>
      <c r="C431" s="24" t="str">
        <f>PROPER(TRIM(Raw_Data!C445))</f>
        <v>Wireless Earbuds</v>
      </c>
      <c r="D431" s="24" t="str">
        <f>TRIM(Raw_Data!D445)</f>
        <v>Electronics</v>
      </c>
      <c r="E431" s="26">
        <f>Raw_Data!E445</f>
        <v>2499</v>
      </c>
      <c r="F431" s="24">
        <f>Raw_Data!F445</f>
        <v>1</v>
      </c>
      <c r="G431" s="26">
        <f t="shared" si="24"/>
        <v>2499</v>
      </c>
      <c r="H431" s="24" t="str">
        <f>PROPER(TRIM(Raw_Data!H445))</f>
        <v>Vivaan Sharma</v>
      </c>
      <c r="I431" s="24" t="str">
        <f>PROPER(TRIM(Raw_Data!I445))</f>
        <v>Mumbai</v>
      </c>
      <c r="J431" s="24" t="str">
        <f>TRIM(Raw_Data!J445)</f>
        <v>Net Banking</v>
      </c>
      <c r="K431" s="24" t="str">
        <f>PROPER(TRIM(Raw_Data!K445))</f>
        <v>Delivered</v>
      </c>
      <c r="L431" s="24" t="str">
        <f t="shared" si="25"/>
        <v>Sep</v>
      </c>
      <c r="M431" s="24" t="str">
        <f t="shared" si="26"/>
        <v>Sat</v>
      </c>
      <c r="N431" s="24" t="str">
        <f t="shared" si="27"/>
        <v>Delivered</v>
      </c>
      <c r="O431" s="24" t="str">
        <f>IF(ROUND(G431-Raw_Data!G445,2)=0,"OK","Corrected")</f>
        <v>OK</v>
      </c>
    </row>
    <row r="432" spans="1:15" x14ac:dyDescent="0.3">
      <c r="A432" s="24" t="str">
        <f>TRIM(Raw_Data!A446)</f>
        <v>AMZ-10039</v>
      </c>
      <c r="B432" s="25">
        <f>Raw_Data!B446</f>
        <v>46291</v>
      </c>
      <c r="C432" s="24" t="str">
        <f>PROPER(TRIM(Raw_Data!C446))</f>
        <v>Cotton T-Shirt</v>
      </c>
      <c r="D432" s="24" t="str">
        <f>TRIM(Raw_Data!D446)</f>
        <v>Clothing</v>
      </c>
      <c r="E432" s="26">
        <f>Raw_Data!E446</f>
        <v>599</v>
      </c>
      <c r="F432" s="24">
        <f>Raw_Data!F446</f>
        <v>2</v>
      </c>
      <c r="G432" s="26">
        <f t="shared" si="24"/>
        <v>1198</v>
      </c>
      <c r="H432" s="24" t="str">
        <f>PROPER(TRIM(Raw_Data!H446))</f>
        <v>Neha Patel</v>
      </c>
      <c r="I432" s="24" t="str">
        <f>PROPER(TRIM(Raw_Data!I446))</f>
        <v>Bangalore</v>
      </c>
      <c r="J432" s="24" t="str">
        <f>TRIM(Raw_Data!J446)</f>
        <v>Debit Card</v>
      </c>
      <c r="K432" s="24" t="str">
        <f>PROPER(TRIM(Raw_Data!K446))</f>
        <v>Delivered</v>
      </c>
      <c r="L432" s="24" t="str">
        <f t="shared" si="25"/>
        <v>Sep</v>
      </c>
      <c r="M432" s="24" t="str">
        <f t="shared" si="26"/>
        <v>Sat</v>
      </c>
      <c r="N432" s="24" t="str">
        <f t="shared" si="27"/>
        <v>Delivered</v>
      </c>
      <c r="O432" s="24" t="str">
        <f>IF(ROUND(G432-Raw_Data!G446,2)=0,"OK","Corrected")</f>
        <v>OK</v>
      </c>
    </row>
    <row r="433" spans="1:15" x14ac:dyDescent="0.3">
      <c r="A433" s="24" t="str">
        <f>TRIM(Raw_Data!A447)</f>
        <v>AMZ-10131</v>
      </c>
      <c r="B433" s="25">
        <f>Raw_Data!B447</f>
        <v>46291</v>
      </c>
      <c r="C433" s="24" t="str">
        <f>PROPER(TRIM(Raw_Data!C447))</f>
        <v>Smart Watch</v>
      </c>
      <c r="D433" s="24" t="str">
        <f>TRIM(Raw_Data!D447)</f>
        <v>Electronics</v>
      </c>
      <c r="E433" s="26">
        <f>Raw_Data!E447</f>
        <v>4999</v>
      </c>
      <c r="F433" s="24">
        <f>Raw_Data!F447</f>
        <v>1</v>
      </c>
      <c r="G433" s="26">
        <f t="shared" si="24"/>
        <v>4999</v>
      </c>
      <c r="H433" s="24" t="str">
        <f>PROPER(TRIM(Raw_Data!H447))</f>
        <v>Tanvi Iyer</v>
      </c>
      <c r="I433" s="24" t="str">
        <f>PROPER(TRIM(Raw_Data!I447))</f>
        <v>Kolkata</v>
      </c>
      <c r="J433" s="24" t="str">
        <f>TRIM(Raw_Data!J447)</f>
        <v>Cash On Delivery</v>
      </c>
      <c r="K433" s="24" t="str">
        <f>PROPER(TRIM(Raw_Data!K447))</f>
        <v>Delivered</v>
      </c>
      <c r="L433" s="24" t="str">
        <f t="shared" si="25"/>
        <v>Sep</v>
      </c>
      <c r="M433" s="24" t="str">
        <f t="shared" si="26"/>
        <v>Sat</v>
      </c>
      <c r="N433" s="24" t="str">
        <f t="shared" si="27"/>
        <v>Delivered</v>
      </c>
      <c r="O433" s="24" t="str">
        <f>IF(ROUND(G433-Raw_Data!G447,2)=0,"OK","Corrected")</f>
        <v>OK</v>
      </c>
    </row>
    <row r="434" spans="1:15" x14ac:dyDescent="0.3">
      <c r="A434" s="24" t="str">
        <f>TRIM(Raw_Data!A448)</f>
        <v>AMZ-10136</v>
      </c>
      <c r="B434" s="25">
        <f>Raw_Data!B448</f>
        <v>46291</v>
      </c>
      <c r="C434" s="24" t="str">
        <f>PROPER(TRIM(Raw_Data!C448))</f>
        <v>Running Shoes</v>
      </c>
      <c r="D434" s="24" t="str">
        <f>TRIM(Raw_Data!D448)</f>
        <v>Footwear</v>
      </c>
      <c r="E434" s="26">
        <f>Raw_Data!E448</f>
        <v>3299</v>
      </c>
      <c r="F434" s="24">
        <f>Raw_Data!F448</f>
        <v>1</v>
      </c>
      <c r="G434" s="26">
        <f t="shared" si="24"/>
        <v>3299</v>
      </c>
      <c r="H434" s="24" t="str">
        <f>PROPER(TRIM(Raw_Data!H448))</f>
        <v>Vivaan Joshi</v>
      </c>
      <c r="I434" s="24" t="str">
        <f>PROPER(TRIM(Raw_Data!I448))</f>
        <v>Pune</v>
      </c>
      <c r="J434" s="24" t="str">
        <f>TRIM(Raw_Data!J448)</f>
        <v>Credit Card</v>
      </c>
      <c r="K434" s="24" t="str">
        <f>PROPER(TRIM(Raw_Data!K448))</f>
        <v>Shipped</v>
      </c>
      <c r="L434" s="24" t="str">
        <f t="shared" si="25"/>
        <v>Sep</v>
      </c>
      <c r="M434" s="24" t="str">
        <f t="shared" si="26"/>
        <v>Sat</v>
      </c>
      <c r="N434" s="24" t="str">
        <f t="shared" si="27"/>
        <v>Pending</v>
      </c>
      <c r="O434" s="24" t="str">
        <f>IF(ROUND(G434-Raw_Data!G448,2)=0,"OK","Corrected")</f>
        <v>OK</v>
      </c>
    </row>
    <row r="435" spans="1:15" x14ac:dyDescent="0.3">
      <c r="A435" s="24" t="str">
        <f>TRIM(Raw_Data!A449)</f>
        <v>AMZ-10160</v>
      </c>
      <c r="B435" s="25">
        <f>Raw_Data!B449</f>
        <v>46291</v>
      </c>
      <c r="C435" s="24" t="str">
        <f>PROPER(TRIM(Raw_Data!C449))</f>
        <v>Bluetooth Speaker</v>
      </c>
      <c r="D435" s="24" t="str">
        <f>TRIM(Raw_Data!D449)</f>
        <v>Electronics</v>
      </c>
      <c r="E435" s="26">
        <f>Raw_Data!E449</f>
        <v>1999</v>
      </c>
      <c r="F435" s="24">
        <f>Raw_Data!F449</f>
        <v>3</v>
      </c>
      <c r="G435" s="26">
        <f t="shared" si="24"/>
        <v>5997</v>
      </c>
      <c r="H435" s="24" t="str">
        <f>PROPER(TRIM(Raw_Data!H449))</f>
        <v>Nikhil Rao</v>
      </c>
      <c r="I435" s="24" t="str">
        <f>PROPER(TRIM(Raw_Data!I449))</f>
        <v>Chennai</v>
      </c>
      <c r="J435" s="24" t="str">
        <f>TRIM(Raw_Data!J449)</f>
        <v>UPI</v>
      </c>
      <c r="K435" s="24" t="str">
        <f>PROPER(TRIM(Raw_Data!K449))</f>
        <v>Pending</v>
      </c>
      <c r="L435" s="24" t="str">
        <f t="shared" si="25"/>
        <v>Sep</v>
      </c>
      <c r="M435" s="24" t="str">
        <f t="shared" si="26"/>
        <v>Sat</v>
      </c>
      <c r="N435" s="24" t="str">
        <f t="shared" si="27"/>
        <v>Pending</v>
      </c>
      <c r="O435" s="24" t="str">
        <f>IF(ROUND(G435-Raw_Data!G449,2)=0,"OK","Corrected")</f>
        <v>OK</v>
      </c>
    </row>
    <row r="436" spans="1:15" x14ac:dyDescent="0.3">
      <c r="A436" s="24" t="str">
        <f>TRIM(Raw_Data!A450)</f>
        <v>AMZ-10174</v>
      </c>
      <c r="B436" s="25">
        <f>Raw_Data!B450</f>
        <v>46291</v>
      </c>
      <c r="C436" s="24" t="str">
        <f>PROPER(TRIM(Raw_Data!C450))</f>
        <v>Water Bottle</v>
      </c>
      <c r="D436" s="24" t="str">
        <f>TRIM(Raw_Data!D450)</f>
        <v>Home &amp; Kitchen</v>
      </c>
      <c r="E436" s="26">
        <f>Raw_Data!E450</f>
        <v>499</v>
      </c>
      <c r="F436" s="24">
        <f>Raw_Data!F450</f>
        <v>4</v>
      </c>
      <c r="G436" s="26">
        <f t="shared" si="24"/>
        <v>1996</v>
      </c>
      <c r="H436" s="24" t="str">
        <f>PROPER(TRIM(Raw_Data!H450))</f>
        <v>Aditya Kulkarni</v>
      </c>
      <c r="I436" s="24" t="str">
        <f>PROPER(TRIM(Raw_Data!I450))</f>
        <v>Bangalore</v>
      </c>
      <c r="J436" s="24" t="str">
        <f>TRIM(Raw_Data!J450)</f>
        <v>UPI</v>
      </c>
      <c r="K436" s="24" t="str">
        <f>PROPER(TRIM(Raw_Data!K450))</f>
        <v>Shipped</v>
      </c>
      <c r="L436" s="24" t="str">
        <f t="shared" si="25"/>
        <v>Sep</v>
      </c>
      <c r="M436" s="24" t="str">
        <f t="shared" si="26"/>
        <v>Sat</v>
      </c>
      <c r="N436" s="24" t="str">
        <f t="shared" si="27"/>
        <v>Pending</v>
      </c>
      <c r="O436" s="24" t="str">
        <f>IF(ROUND(G436-Raw_Data!G450,2)=0,"OK","Corrected")</f>
        <v>OK</v>
      </c>
    </row>
    <row r="437" spans="1:15" x14ac:dyDescent="0.3">
      <c r="A437" s="24" t="str">
        <f>TRIM(Raw_Data!A451)</f>
        <v>AMZ-10222</v>
      </c>
      <c r="B437" s="25">
        <f>Raw_Data!B451</f>
        <v>46291</v>
      </c>
      <c r="C437" s="24" t="str">
        <f>PROPER(TRIM(Raw_Data!C451))</f>
        <v>Python Programming Book</v>
      </c>
      <c r="D437" s="24" t="str">
        <f>TRIM(Raw_Data!D451)</f>
        <v>Books</v>
      </c>
      <c r="E437" s="26">
        <f>Raw_Data!E451</f>
        <v>699</v>
      </c>
      <c r="F437" s="24">
        <f>Raw_Data!F451</f>
        <v>1</v>
      </c>
      <c r="G437" s="26">
        <f t="shared" si="24"/>
        <v>699</v>
      </c>
      <c r="H437" s="24" t="str">
        <f>PROPER(TRIM(Raw_Data!H451))</f>
        <v>Vivaan Joshi</v>
      </c>
      <c r="I437" s="24" t="str">
        <f>PROPER(TRIM(Raw_Data!I451))</f>
        <v>Pune</v>
      </c>
      <c r="J437" s="24" t="str">
        <f>TRIM(Raw_Data!J451)</f>
        <v>Credit Card</v>
      </c>
      <c r="K437" s="24" t="str">
        <f>PROPER(TRIM(Raw_Data!K451))</f>
        <v>Delivered</v>
      </c>
      <c r="L437" s="24" t="str">
        <f t="shared" si="25"/>
        <v>Sep</v>
      </c>
      <c r="M437" s="24" t="str">
        <f t="shared" si="26"/>
        <v>Sat</v>
      </c>
      <c r="N437" s="24" t="str">
        <f t="shared" si="27"/>
        <v>Delivered</v>
      </c>
      <c r="O437" s="24" t="str">
        <f>IF(ROUND(G437-Raw_Data!G451,2)=0,"OK","Corrected")</f>
        <v>OK</v>
      </c>
    </row>
    <row r="438" spans="1:15" x14ac:dyDescent="0.3">
      <c r="A438" s="24" t="str">
        <f>TRIM(Raw_Data!A452)</f>
        <v>AMZ-10234</v>
      </c>
      <c r="B438" s="25">
        <f>Raw_Data!B452</f>
        <v>46291</v>
      </c>
      <c r="C438" s="24" t="str">
        <f>PROPER(TRIM(Raw_Data!C452))</f>
        <v>Smart Watch</v>
      </c>
      <c r="D438" s="24" t="str">
        <f>TRIM(Raw_Data!D452)</f>
        <v>Electronics</v>
      </c>
      <c r="E438" s="26">
        <f>Raw_Data!E452</f>
        <v>4999</v>
      </c>
      <c r="F438" s="24">
        <f>Raw_Data!F452</f>
        <v>1</v>
      </c>
      <c r="G438" s="26">
        <f t="shared" si="24"/>
        <v>4999</v>
      </c>
      <c r="H438" s="24" t="str">
        <f>PROPER(TRIM(Raw_Data!H452))</f>
        <v>Vikram Nair</v>
      </c>
      <c r="I438" s="24" t="str">
        <f>PROPER(TRIM(Raw_Data!I452))</f>
        <v>Mumbai</v>
      </c>
      <c r="J438" s="24" t="str">
        <f>TRIM(Raw_Data!J452)</f>
        <v>UPI</v>
      </c>
      <c r="K438" s="24" t="str">
        <f>PROPER(TRIM(Raw_Data!K452))</f>
        <v>Cancelled</v>
      </c>
      <c r="L438" s="24" t="str">
        <f t="shared" si="25"/>
        <v>Sep</v>
      </c>
      <c r="M438" s="24" t="str">
        <f t="shared" si="26"/>
        <v>Sat</v>
      </c>
      <c r="N438" s="24" t="str">
        <f t="shared" si="27"/>
        <v>Cancelled</v>
      </c>
      <c r="O438" s="24" t="str">
        <f>IF(ROUND(G438-Raw_Data!G452,2)=0,"OK","Corrected")</f>
        <v>OK</v>
      </c>
    </row>
    <row r="439" spans="1:15" x14ac:dyDescent="0.3">
      <c r="A439" s="24" t="str">
        <f>TRIM(Raw_Data!A453)</f>
        <v>AMZ-10239</v>
      </c>
      <c r="B439" s="25">
        <f>Raw_Data!B453</f>
        <v>46291</v>
      </c>
      <c r="C439" s="24" t="str">
        <f>PROPER(TRIM(Raw_Data!C453))</f>
        <v>Air Fryer</v>
      </c>
      <c r="D439" s="24" t="str">
        <f>TRIM(Raw_Data!D453)</f>
        <v>Home &amp; Kitchen</v>
      </c>
      <c r="E439" s="26">
        <f>Raw_Data!E453</f>
        <v>5999</v>
      </c>
      <c r="F439" s="24">
        <f>Raw_Data!F453</f>
        <v>1</v>
      </c>
      <c r="G439" s="26">
        <f t="shared" si="24"/>
        <v>5999</v>
      </c>
      <c r="H439" s="24" t="str">
        <f>PROPER(TRIM(Raw_Data!H453))</f>
        <v>Tanvi Verma</v>
      </c>
      <c r="I439" s="24" t="str">
        <f>PROPER(TRIM(Raw_Data!I453))</f>
        <v>Kolkata</v>
      </c>
      <c r="J439" s="24" t="str">
        <f>TRIM(Raw_Data!J453)</f>
        <v>Credit Card</v>
      </c>
      <c r="K439" s="24" t="str">
        <f>PROPER(TRIM(Raw_Data!K453))</f>
        <v>Cancelled</v>
      </c>
      <c r="L439" s="24" t="str">
        <f t="shared" si="25"/>
        <v>Sep</v>
      </c>
      <c r="M439" s="24" t="str">
        <f t="shared" si="26"/>
        <v>Sat</v>
      </c>
      <c r="N439" s="24" t="str">
        <f t="shared" si="27"/>
        <v>Cancelled</v>
      </c>
      <c r="O439" s="24" t="str">
        <f>IF(ROUND(G439-Raw_Data!G453,2)=0,"OK","Corrected")</f>
        <v>OK</v>
      </c>
    </row>
    <row r="440" spans="1:15" x14ac:dyDescent="0.3">
      <c r="A440" s="24" t="str">
        <f>TRIM(Raw_Data!A454)</f>
        <v>AMZ-10247</v>
      </c>
      <c r="B440" s="25">
        <f>Raw_Data!B454</f>
        <v>46291</v>
      </c>
      <c r="C440" s="24" t="str">
        <f>PROPER(TRIM(Raw_Data!C454))</f>
        <v>Smart Watch</v>
      </c>
      <c r="D440" s="24" t="str">
        <f>TRIM(Raw_Data!D454)</f>
        <v>Electronics</v>
      </c>
      <c r="E440" s="26">
        <f>Raw_Data!E454</f>
        <v>4999</v>
      </c>
      <c r="F440" s="24">
        <f>Raw_Data!F454</f>
        <v>2</v>
      </c>
      <c r="G440" s="26">
        <f t="shared" si="24"/>
        <v>9998</v>
      </c>
      <c r="H440" s="24" t="str">
        <f>PROPER(TRIM(Raw_Data!H454))</f>
        <v>Meera Mehta</v>
      </c>
      <c r="I440" s="24" t="str">
        <f>PROPER(TRIM(Raw_Data!I454))</f>
        <v>Kolkata</v>
      </c>
      <c r="J440" s="24" t="str">
        <f>TRIM(Raw_Data!J454)</f>
        <v>UPI</v>
      </c>
      <c r="K440" s="24" t="str">
        <f>PROPER(TRIM(Raw_Data!K454))</f>
        <v>Delivered</v>
      </c>
      <c r="L440" s="24" t="str">
        <f t="shared" si="25"/>
        <v>Sep</v>
      </c>
      <c r="M440" s="24" t="str">
        <f t="shared" si="26"/>
        <v>Sat</v>
      </c>
      <c r="N440" s="24" t="str">
        <f t="shared" si="27"/>
        <v>Delivered</v>
      </c>
      <c r="O440" s="24" t="str">
        <f>IF(ROUND(G440-Raw_Data!G454,2)=0,"OK","Corrected")</f>
        <v>OK</v>
      </c>
    </row>
    <row r="441" spans="1:15" x14ac:dyDescent="0.3">
      <c r="A441" s="24" t="str">
        <f>TRIM(Raw_Data!A455)</f>
        <v>AMZ-10251</v>
      </c>
      <c r="B441" s="25">
        <f>Raw_Data!B455</f>
        <v>46291</v>
      </c>
      <c r="C441" s="24" t="str">
        <f>PROPER(TRIM(Raw_Data!C455))</f>
        <v>Smart Watch</v>
      </c>
      <c r="D441" s="24" t="str">
        <f>TRIM(Raw_Data!D455)</f>
        <v>Electronics</v>
      </c>
      <c r="E441" s="26">
        <f>Raw_Data!E455</f>
        <v>4999</v>
      </c>
      <c r="F441" s="24">
        <f>Raw_Data!F455</f>
        <v>1</v>
      </c>
      <c r="G441" s="26">
        <f t="shared" si="24"/>
        <v>4999</v>
      </c>
      <c r="H441" s="24" t="str">
        <f>PROPER(TRIM(Raw_Data!H455))</f>
        <v>Priya Reddy</v>
      </c>
      <c r="I441" s="24" t="str">
        <f>PROPER(TRIM(Raw_Data!I455))</f>
        <v>Mumbai</v>
      </c>
      <c r="J441" s="24" t="str">
        <f>TRIM(Raw_Data!J455)</f>
        <v>Debit Card</v>
      </c>
      <c r="K441" s="24" t="str">
        <f>PROPER(TRIM(Raw_Data!K455))</f>
        <v>Delivered</v>
      </c>
      <c r="L441" s="24" t="str">
        <f t="shared" si="25"/>
        <v>Sep</v>
      </c>
      <c r="M441" s="24" t="str">
        <f t="shared" si="26"/>
        <v>Sat</v>
      </c>
      <c r="N441" s="24" t="str">
        <f t="shared" si="27"/>
        <v>Delivered</v>
      </c>
      <c r="O441" s="24" t="str">
        <f>IF(ROUND(G441-Raw_Data!G455,2)=0,"OK","Corrected")</f>
        <v>OK</v>
      </c>
    </row>
    <row r="442" spans="1:15" x14ac:dyDescent="0.3">
      <c r="A442" s="24" t="str">
        <f>TRIM(Raw_Data!A456)</f>
        <v>AMZ-10294</v>
      </c>
      <c r="B442" s="25">
        <f>Raw_Data!B456</f>
        <v>46291</v>
      </c>
      <c r="C442" s="24" t="str">
        <f>PROPER(TRIM(Raw_Data!C456))</f>
        <v>Denim Jeans</v>
      </c>
      <c r="D442" s="24" t="str">
        <f>TRIM(Raw_Data!D456)</f>
        <v>Clothing</v>
      </c>
      <c r="E442" s="26">
        <f>Raw_Data!E456</f>
        <v>1799</v>
      </c>
      <c r="F442" s="24">
        <f>Raw_Data!F456</f>
        <v>1</v>
      </c>
      <c r="G442" s="26">
        <f t="shared" si="24"/>
        <v>1799</v>
      </c>
      <c r="H442" s="24" t="str">
        <f>PROPER(TRIM(Raw_Data!H456))</f>
        <v>Tanvi Verma</v>
      </c>
      <c r="I442" s="24" t="str">
        <f>PROPER(TRIM(Raw_Data!I456))</f>
        <v>Kolkata</v>
      </c>
      <c r="J442" s="24" t="str">
        <f>TRIM(Raw_Data!J456)</f>
        <v>Debit Card</v>
      </c>
      <c r="K442" s="24" t="str">
        <f>PROPER(TRIM(Raw_Data!K456))</f>
        <v>Delivered</v>
      </c>
      <c r="L442" s="24" t="str">
        <f t="shared" si="25"/>
        <v>Sep</v>
      </c>
      <c r="M442" s="24" t="str">
        <f t="shared" si="26"/>
        <v>Sat</v>
      </c>
      <c r="N442" s="24" t="str">
        <f t="shared" si="27"/>
        <v>Delivered</v>
      </c>
      <c r="O442" s="24" t="str">
        <f>IF(ROUND(G442-Raw_Data!G456,2)=0,"OK","Corrected")</f>
        <v>OK</v>
      </c>
    </row>
    <row r="443" spans="1:15" x14ac:dyDescent="0.3">
      <c r="A443" s="24" t="str">
        <f>TRIM(Raw_Data!A457)</f>
        <v>AMZ-10439</v>
      </c>
      <c r="B443" s="25">
        <f>Raw_Data!B457</f>
        <v>46291</v>
      </c>
      <c r="C443" s="24" t="str">
        <f>PROPER(TRIM(Raw_Data!C457))</f>
        <v>Casual Sneakers</v>
      </c>
      <c r="D443" s="24" t="str">
        <f>TRIM(Raw_Data!D457)</f>
        <v>Footwear</v>
      </c>
      <c r="E443" s="26">
        <f>Raw_Data!E457</f>
        <v>2199</v>
      </c>
      <c r="F443" s="24">
        <f>Raw_Data!F457</f>
        <v>1</v>
      </c>
      <c r="G443" s="26">
        <f t="shared" si="24"/>
        <v>2199</v>
      </c>
      <c r="H443" s="24" t="str">
        <f>PROPER(TRIM(Raw_Data!H457))</f>
        <v>Aditya Iyer</v>
      </c>
      <c r="I443" s="24" t="str">
        <f>PROPER(TRIM(Raw_Data!I457))</f>
        <v>Mumbai</v>
      </c>
      <c r="J443" s="24" t="str">
        <f>TRIM(Raw_Data!J457)</f>
        <v>Debit Card</v>
      </c>
      <c r="K443" s="24" t="str">
        <f>PROPER(TRIM(Raw_Data!K457))</f>
        <v>Delivered</v>
      </c>
      <c r="L443" s="24" t="str">
        <f t="shared" si="25"/>
        <v>Sep</v>
      </c>
      <c r="M443" s="24" t="str">
        <f t="shared" si="26"/>
        <v>Sat</v>
      </c>
      <c r="N443" s="24" t="str">
        <f t="shared" si="27"/>
        <v>Delivered</v>
      </c>
      <c r="O443" s="24" t="str">
        <f>IF(ROUND(G443-Raw_Data!G457,2)=0,"OK","Corrected")</f>
        <v>OK</v>
      </c>
    </row>
    <row r="444" spans="1:15" x14ac:dyDescent="0.3">
      <c r="A444" s="24" t="str">
        <f>TRIM(Raw_Data!A458)</f>
        <v>AMZ-10444</v>
      </c>
      <c r="B444" s="25">
        <f>Raw_Data!B458</f>
        <v>46291</v>
      </c>
      <c r="C444" s="24" t="str">
        <f>PROPER(TRIM(Raw_Data!C458))</f>
        <v>Bluetooth Speaker</v>
      </c>
      <c r="D444" s="24" t="str">
        <f>TRIM(Raw_Data!D458)</f>
        <v>Electronics</v>
      </c>
      <c r="E444" s="26">
        <f>Raw_Data!E458</f>
        <v>1999</v>
      </c>
      <c r="F444" s="24">
        <f>Raw_Data!F458</f>
        <v>1</v>
      </c>
      <c r="G444" s="26">
        <f t="shared" si="24"/>
        <v>1999</v>
      </c>
      <c r="H444" s="24" t="str">
        <f>PROPER(TRIM(Raw_Data!H458))</f>
        <v>Sneha Singh</v>
      </c>
      <c r="I444" s="24" t="str">
        <f>PROPER(TRIM(Raw_Data!I458))</f>
        <v>Mumbai</v>
      </c>
      <c r="J444" s="24" t="str">
        <f>TRIM(Raw_Data!J458)</f>
        <v>Cash On Delivery</v>
      </c>
      <c r="K444" s="24" t="str">
        <f>PROPER(TRIM(Raw_Data!K458))</f>
        <v>Delivered</v>
      </c>
      <c r="L444" s="24" t="str">
        <f t="shared" si="25"/>
        <v>Sep</v>
      </c>
      <c r="M444" s="24" t="str">
        <f t="shared" si="26"/>
        <v>Sat</v>
      </c>
      <c r="N444" s="24" t="str">
        <f t="shared" si="27"/>
        <v>Delivered</v>
      </c>
      <c r="O444" s="24" t="str">
        <f>IF(ROUND(G444-Raw_Data!G458,2)=0,"OK","Corrected")</f>
        <v>OK</v>
      </c>
    </row>
    <row r="445" spans="1:15" x14ac:dyDescent="0.3">
      <c r="A445" s="24" t="str">
        <f>TRIM(Raw_Data!A459)</f>
        <v>AMZ-10014</v>
      </c>
      <c r="B445" s="25">
        <f>Raw_Data!B459</f>
        <v>46292</v>
      </c>
      <c r="C445" s="24" t="str">
        <f>PROPER(TRIM(Raw_Data!C459))</f>
        <v>Wireless Earbuds</v>
      </c>
      <c r="D445" s="24" t="str">
        <f>TRIM(Raw_Data!D459)</f>
        <v>Electronics</v>
      </c>
      <c r="E445" s="26">
        <f>Raw_Data!E459</f>
        <v>2499</v>
      </c>
      <c r="F445" s="24">
        <f>Raw_Data!F459</f>
        <v>2</v>
      </c>
      <c r="G445" s="26">
        <f t="shared" si="24"/>
        <v>4998</v>
      </c>
      <c r="H445" s="24" t="str">
        <f>PROPER(TRIM(Raw_Data!H459))</f>
        <v>Priya Chopra</v>
      </c>
      <c r="I445" s="24" t="str">
        <f>PROPER(TRIM(Raw_Data!I459))</f>
        <v>Bangalore</v>
      </c>
      <c r="J445" s="24" t="str">
        <f>TRIM(Raw_Data!J459)</f>
        <v>UPI</v>
      </c>
      <c r="K445" s="24" t="str">
        <f>PROPER(TRIM(Raw_Data!K459))</f>
        <v>Delivered</v>
      </c>
      <c r="L445" s="24" t="str">
        <f t="shared" si="25"/>
        <v>Sep</v>
      </c>
      <c r="M445" s="24" t="str">
        <f t="shared" si="26"/>
        <v>Sun</v>
      </c>
      <c r="N445" s="24" t="str">
        <f t="shared" si="27"/>
        <v>Delivered</v>
      </c>
      <c r="O445" s="24" t="str">
        <f>IF(ROUND(G445-Raw_Data!G459,2)=0,"OK","Corrected")</f>
        <v>OK</v>
      </c>
    </row>
    <row r="446" spans="1:15" x14ac:dyDescent="0.3">
      <c r="A446" s="24" t="str">
        <f>TRIM(Raw_Data!A460)</f>
        <v>AMZ-10064</v>
      </c>
      <c r="B446" s="25">
        <f>Raw_Data!B460</f>
        <v>46292</v>
      </c>
      <c r="C446" s="24" t="str">
        <f>PROPER(TRIM(Raw_Data!C460))</f>
        <v>Sandals</v>
      </c>
      <c r="D446" s="24" t="str">
        <f>TRIM(Raw_Data!D460)</f>
        <v>Footwear</v>
      </c>
      <c r="E446" s="26">
        <f>Raw_Data!E460</f>
        <v>899</v>
      </c>
      <c r="F446" s="24">
        <f>Raw_Data!F460</f>
        <v>1</v>
      </c>
      <c r="G446" s="26">
        <f t="shared" si="24"/>
        <v>899</v>
      </c>
      <c r="H446" s="24" t="str">
        <f>PROPER(TRIM(Raw_Data!H460))</f>
        <v>Ishaan Gupta</v>
      </c>
      <c r="I446" s="24" t="str">
        <f>PROPER(TRIM(Raw_Data!I460))</f>
        <v>Lucknow</v>
      </c>
      <c r="J446" s="24" t="str">
        <f>TRIM(Raw_Data!J460)</f>
        <v>Debit Card</v>
      </c>
      <c r="K446" s="24" t="str">
        <f>PROPER(TRIM(Raw_Data!K460))</f>
        <v>Cancelled</v>
      </c>
      <c r="L446" s="24" t="str">
        <f t="shared" si="25"/>
        <v>Sep</v>
      </c>
      <c r="M446" s="24" t="str">
        <f t="shared" si="26"/>
        <v>Sun</v>
      </c>
      <c r="N446" s="24" t="str">
        <f t="shared" si="27"/>
        <v>Cancelled</v>
      </c>
      <c r="O446" s="24" t="str">
        <f>IF(ROUND(G446-Raw_Data!G460,2)=0,"OK","Corrected")</f>
        <v>OK</v>
      </c>
    </row>
    <row r="447" spans="1:15" x14ac:dyDescent="0.3">
      <c r="A447" s="24" t="str">
        <f>TRIM(Raw_Data!A461)</f>
        <v>AMZ-10088</v>
      </c>
      <c r="B447" s="25">
        <f>Raw_Data!B461</f>
        <v>46292</v>
      </c>
      <c r="C447" s="24" t="str">
        <f>PROPER(TRIM(Raw_Data!C461))</f>
        <v>Air Fryer</v>
      </c>
      <c r="D447" s="24" t="str">
        <f>TRIM(Raw_Data!D461)</f>
        <v>Home &amp; Kitchen</v>
      </c>
      <c r="E447" s="26">
        <f>Raw_Data!E461</f>
        <v>5999</v>
      </c>
      <c r="F447" s="24">
        <f>Raw_Data!F461</f>
        <v>1</v>
      </c>
      <c r="G447" s="26">
        <f t="shared" si="24"/>
        <v>5999</v>
      </c>
      <c r="H447" s="24" t="str">
        <f>PROPER(TRIM(Raw_Data!H461))</f>
        <v>Nikhil Joshi</v>
      </c>
      <c r="I447" s="24" t="str">
        <f>PROPER(TRIM(Raw_Data!I461))</f>
        <v>Lucknow</v>
      </c>
      <c r="J447" s="24" t="str">
        <f>TRIM(Raw_Data!J461)</f>
        <v>Debit Card</v>
      </c>
      <c r="K447" s="24" t="str">
        <f>PROPER(TRIM(Raw_Data!K461))</f>
        <v>Delivered</v>
      </c>
      <c r="L447" s="24" t="str">
        <f t="shared" si="25"/>
        <v>Sep</v>
      </c>
      <c r="M447" s="24" t="str">
        <f t="shared" si="26"/>
        <v>Sun</v>
      </c>
      <c r="N447" s="24" t="str">
        <f t="shared" si="27"/>
        <v>Delivered</v>
      </c>
      <c r="O447" s="24" t="str">
        <f>IF(ROUND(G447-Raw_Data!G461,2)=0,"OK","Corrected")</f>
        <v>OK</v>
      </c>
    </row>
    <row r="448" spans="1:15" x14ac:dyDescent="0.3">
      <c r="A448" s="24" t="str">
        <f>TRIM(Raw_Data!A462)</f>
        <v>AMZ-10099</v>
      </c>
      <c r="B448" s="25">
        <f>Raw_Data!B462</f>
        <v>46292</v>
      </c>
      <c r="C448" s="24" t="str">
        <f>PROPER(TRIM(Raw_Data!C462))</f>
        <v>Air Fryer</v>
      </c>
      <c r="D448" s="24" t="str">
        <f>TRIM(Raw_Data!D462)</f>
        <v>Home &amp; Kitchen</v>
      </c>
      <c r="E448" s="26">
        <f>Raw_Data!E462</f>
        <v>5999</v>
      </c>
      <c r="F448" s="24">
        <f>Raw_Data!F462</f>
        <v>1</v>
      </c>
      <c r="G448" s="26">
        <f t="shared" si="24"/>
        <v>5999</v>
      </c>
      <c r="H448" s="24" t="str">
        <f>PROPER(TRIM(Raw_Data!H462))</f>
        <v>Aditya Singh</v>
      </c>
      <c r="I448" s="24" t="str">
        <f>PROPER(TRIM(Raw_Data!I462))</f>
        <v>Delhi</v>
      </c>
      <c r="J448" s="24" t="str">
        <f>TRIM(Raw_Data!J462)</f>
        <v>UPI</v>
      </c>
      <c r="K448" s="24" t="str">
        <f>PROPER(TRIM(Raw_Data!K462))</f>
        <v>Delivered</v>
      </c>
      <c r="L448" s="24" t="str">
        <f t="shared" si="25"/>
        <v>Sep</v>
      </c>
      <c r="M448" s="24" t="str">
        <f t="shared" si="26"/>
        <v>Sun</v>
      </c>
      <c r="N448" s="24" t="str">
        <f t="shared" si="27"/>
        <v>Delivered</v>
      </c>
      <c r="O448" s="24" t="str">
        <f>IF(ROUND(G448-Raw_Data!G462,2)=0,"OK","Corrected")</f>
        <v>OK</v>
      </c>
    </row>
    <row r="449" spans="1:15" x14ac:dyDescent="0.3">
      <c r="A449" s="24" t="str">
        <f>TRIM(Raw_Data!A463)</f>
        <v>AMZ-10128</v>
      </c>
      <c r="B449" s="25">
        <f>Raw_Data!B463</f>
        <v>46292</v>
      </c>
      <c r="C449" s="24" t="str">
        <f>PROPER(TRIM(Raw_Data!C463))</f>
        <v>Smart Watch</v>
      </c>
      <c r="D449" s="24" t="str">
        <f>TRIM(Raw_Data!D463)</f>
        <v>Electronics</v>
      </c>
      <c r="E449" s="26">
        <f>Raw_Data!E463</f>
        <v>4999</v>
      </c>
      <c r="F449" s="24">
        <f>Raw_Data!F463</f>
        <v>3</v>
      </c>
      <c r="G449" s="26">
        <f t="shared" si="24"/>
        <v>14997</v>
      </c>
      <c r="H449" s="24" t="str">
        <f>PROPER(TRIM(Raw_Data!H463))</f>
        <v>Rajesh Reddy</v>
      </c>
      <c r="I449" s="24" t="str">
        <f>PROPER(TRIM(Raw_Data!I463))</f>
        <v>Delhi</v>
      </c>
      <c r="J449" s="24" t="str">
        <f>TRIM(Raw_Data!J463)</f>
        <v>UPI</v>
      </c>
      <c r="K449" s="24" t="str">
        <f>PROPER(TRIM(Raw_Data!K463))</f>
        <v>Pending</v>
      </c>
      <c r="L449" s="24" t="str">
        <f t="shared" si="25"/>
        <v>Sep</v>
      </c>
      <c r="M449" s="24" t="str">
        <f t="shared" si="26"/>
        <v>Sun</v>
      </c>
      <c r="N449" s="24" t="str">
        <f t="shared" si="27"/>
        <v>Pending</v>
      </c>
      <c r="O449" s="24" t="str">
        <f>IF(ROUND(G449-Raw_Data!G463,2)=0,"OK","Corrected")</f>
        <v>OK</v>
      </c>
    </row>
    <row r="450" spans="1:15" x14ac:dyDescent="0.3">
      <c r="A450" s="24" t="str">
        <f>TRIM(Raw_Data!A464)</f>
        <v>AMZ-10129</v>
      </c>
      <c r="B450" s="25">
        <f>Raw_Data!B464</f>
        <v>46292</v>
      </c>
      <c r="C450" s="24" t="str">
        <f>PROPER(TRIM(Raw_Data!C464))</f>
        <v>Power Bank</v>
      </c>
      <c r="D450" s="24" t="str">
        <f>TRIM(Raw_Data!D464)</f>
        <v>Electronics</v>
      </c>
      <c r="E450" s="26">
        <f>Raw_Data!E464</f>
        <v>1299</v>
      </c>
      <c r="F450" s="24">
        <f>Raw_Data!F464</f>
        <v>2</v>
      </c>
      <c r="G450" s="26">
        <f t="shared" ref="G450:G501" si="28">E450*F450</f>
        <v>2598</v>
      </c>
      <c r="H450" s="24" t="str">
        <f>PROPER(TRIM(Raw_Data!H464))</f>
        <v>Neha Patel</v>
      </c>
      <c r="I450" s="24" t="str">
        <f>PROPER(TRIM(Raw_Data!I464))</f>
        <v>Bangalore</v>
      </c>
      <c r="J450" s="24" t="str">
        <f>TRIM(Raw_Data!J464)</f>
        <v>Credit Card</v>
      </c>
      <c r="K450" s="24" t="str">
        <f>PROPER(TRIM(Raw_Data!K464))</f>
        <v>Delivered</v>
      </c>
      <c r="L450" s="24" t="str">
        <f t="shared" ref="L450:L501" si="29">TEXT(B450,"MMM")</f>
        <v>Sep</v>
      </c>
      <c r="M450" s="24" t="str">
        <f t="shared" ref="M450:M501" si="30">TEXT(B450,"ddd")</f>
        <v>Sun</v>
      </c>
      <c r="N450" s="24" t="str">
        <f t="shared" ref="N450:N501" si="31">IF(K450="Delivered","Delivered",IF(K450="Cancelled","Cancelled","Pending"))</f>
        <v>Delivered</v>
      </c>
      <c r="O450" s="24" t="str">
        <f>IF(ROUND(G450-Raw_Data!G464,2)=0,"OK","Corrected")</f>
        <v>OK</v>
      </c>
    </row>
    <row r="451" spans="1:15" x14ac:dyDescent="0.3">
      <c r="A451" s="24" t="str">
        <f>TRIM(Raw_Data!A465)</f>
        <v>AMZ-10156</v>
      </c>
      <c r="B451" s="25">
        <f>Raw_Data!B465</f>
        <v>46292</v>
      </c>
      <c r="C451" s="24" t="str">
        <f>PROPER(TRIM(Raw_Data!C465))</f>
        <v>Python Programming Book</v>
      </c>
      <c r="D451" s="24" t="str">
        <f>TRIM(Raw_Data!D465)</f>
        <v>Books</v>
      </c>
      <c r="E451" s="26">
        <f>Raw_Data!E465</f>
        <v>699</v>
      </c>
      <c r="F451" s="24">
        <f>Raw_Data!F465</f>
        <v>2</v>
      </c>
      <c r="G451" s="26">
        <f t="shared" si="28"/>
        <v>1398</v>
      </c>
      <c r="H451" s="24" t="str">
        <f>PROPER(TRIM(Raw_Data!H465))</f>
        <v>Sahil Sharma</v>
      </c>
      <c r="I451" s="24" t="str">
        <f>PROPER(TRIM(Raw_Data!I465))</f>
        <v>Ahmedabad</v>
      </c>
      <c r="J451" s="24" t="str">
        <f>TRIM(Raw_Data!J465)</f>
        <v>UPI</v>
      </c>
      <c r="K451" s="24" t="str">
        <f>PROPER(TRIM(Raw_Data!K465))</f>
        <v>Delivered</v>
      </c>
      <c r="L451" s="24" t="str">
        <f t="shared" si="29"/>
        <v>Sep</v>
      </c>
      <c r="M451" s="24" t="str">
        <f t="shared" si="30"/>
        <v>Sun</v>
      </c>
      <c r="N451" s="24" t="str">
        <f t="shared" si="31"/>
        <v>Delivered</v>
      </c>
      <c r="O451" s="24" t="str">
        <f>IF(ROUND(G451-Raw_Data!G465,2)=0,"OK","Corrected")</f>
        <v>OK</v>
      </c>
    </row>
    <row r="452" spans="1:15" x14ac:dyDescent="0.3">
      <c r="A452" s="24" t="str">
        <f>TRIM(Raw_Data!A466)</f>
        <v>AMZ-10214</v>
      </c>
      <c r="B452" s="25">
        <f>Raw_Data!B466</f>
        <v>46292</v>
      </c>
      <c r="C452" s="24" t="str">
        <f>PROPER(TRIM(Raw_Data!C466))</f>
        <v>Running Shoes</v>
      </c>
      <c r="D452" s="24" t="str">
        <f>TRIM(Raw_Data!D466)</f>
        <v>Footwear</v>
      </c>
      <c r="E452" s="26">
        <f>Raw_Data!E466</f>
        <v>3299</v>
      </c>
      <c r="F452" s="24">
        <f>Raw_Data!F466</f>
        <v>4</v>
      </c>
      <c r="G452" s="26">
        <f t="shared" si="28"/>
        <v>13196</v>
      </c>
      <c r="H452" s="24" t="str">
        <f>PROPER(TRIM(Raw_Data!H466))</f>
        <v>Rajesh Reddy</v>
      </c>
      <c r="I452" s="24" t="str">
        <f>PROPER(TRIM(Raw_Data!I466))</f>
        <v>Delhi</v>
      </c>
      <c r="J452" s="24" t="str">
        <f>TRIM(Raw_Data!J466)</f>
        <v>UPI</v>
      </c>
      <c r="K452" s="24" t="str">
        <f>PROPER(TRIM(Raw_Data!K466))</f>
        <v>Delivered</v>
      </c>
      <c r="L452" s="24" t="str">
        <f t="shared" si="29"/>
        <v>Sep</v>
      </c>
      <c r="M452" s="24" t="str">
        <f t="shared" si="30"/>
        <v>Sun</v>
      </c>
      <c r="N452" s="24" t="str">
        <f t="shared" si="31"/>
        <v>Delivered</v>
      </c>
      <c r="O452" s="24" t="str">
        <f>IF(ROUND(G452-Raw_Data!G466,2)=0,"OK","Corrected")</f>
        <v>OK</v>
      </c>
    </row>
    <row r="453" spans="1:15" x14ac:dyDescent="0.3">
      <c r="A453" s="24" t="str">
        <f>TRIM(Raw_Data!A467)</f>
        <v>AMZ-10231</v>
      </c>
      <c r="B453" s="25">
        <f>Raw_Data!B467</f>
        <v>46292</v>
      </c>
      <c r="C453" s="24" t="str">
        <f>PROPER(TRIM(Raw_Data!C467))</f>
        <v>Running Shoes</v>
      </c>
      <c r="D453" s="24" t="str">
        <f>TRIM(Raw_Data!D467)</f>
        <v>Footwear</v>
      </c>
      <c r="E453" s="26">
        <f>Raw_Data!E467</f>
        <v>3299</v>
      </c>
      <c r="F453" s="24">
        <f>Raw_Data!F467</f>
        <v>1</v>
      </c>
      <c r="G453" s="26">
        <f t="shared" si="28"/>
        <v>3299</v>
      </c>
      <c r="H453" s="24" t="str">
        <f>PROPER(TRIM(Raw_Data!H467))</f>
        <v>Sneha Reddy</v>
      </c>
      <c r="I453" s="24" t="str">
        <f>PROPER(TRIM(Raw_Data!I467))</f>
        <v>Pune</v>
      </c>
      <c r="J453" s="24" t="str">
        <f>TRIM(Raw_Data!J467)</f>
        <v>Net Banking</v>
      </c>
      <c r="K453" s="24" t="str">
        <f>PROPER(TRIM(Raw_Data!K467))</f>
        <v>Shipped</v>
      </c>
      <c r="L453" s="24" t="str">
        <f t="shared" si="29"/>
        <v>Sep</v>
      </c>
      <c r="M453" s="24" t="str">
        <f t="shared" si="30"/>
        <v>Sun</v>
      </c>
      <c r="N453" s="24" t="str">
        <f t="shared" si="31"/>
        <v>Pending</v>
      </c>
      <c r="O453" s="24" t="str">
        <f>IF(ROUND(G453-Raw_Data!G467,2)=0,"OK","Corrected")</f>
        <v>OK</v>
      </c>
    </row>
    <row r="454" spans="1:15" x14ac:dyDescent="0.3">
      <c r="A454" s="24" t="str">
        <f>TRIM(Raw_Data!A468)</f>
        <v>AMZ-10241</v>
      </c>
      <c r="B454" s="25">
        <f>Raw_Data!B468</f>
        <v>46292</v>
      </c>
      <c r="C454" s="24" t="str">
        <f>PROPER(TRIM(Raw_Data!C468))</f>
        <v>Sandals</v>
      </c>
      <c r="D454" s="24" t="str">
        <f>TRIM(Raw_Data!D468)</f>
        <v>Footwear</v>
      </c>
      <c r="E454" s="26">
        <f>Raw_Data!E468</f>
        <v>899</v>
      </c>
      <c r="F454" s="24">
        <f>Raw_Data!F468</f>
        <v>1</v>
      </c>
      <c r="G454" s="26">
        <f t="shared" si="28"/>
        <v>899</v>
      </c>
      <c r="H454" s="24" t="str">
        <f>PROPER(TRIM(Raw_Data!H468))</f>
        <v>Arjun Das</v>
      </c>
      <c r="I454" s="24" t="str">
        <f>PROPER(TRIM(Raw_Data!I468))</f>
        <v>Mumbai</v>
      </c>
      <c r="J454" s="24" t="str">
        <f>TRIM(Raw_Data!J468)</f>
        <v>UPI</v>
      </c>
      <c r="K454" s="24" t="str">
        <f>PROPER(TRIM(Raw_Data!K468))</f>
        <v>Delivered</v>
      </c>
      <c r="L454" s="24" t="str">
        <f t="shared" si="29"/>
        <v>Sep</v>
      </c>
      <c r="M454" s="24" t="str">
        <f t="shared" si="30"/>
        <v>Sun</v>
      </c>
      <c r="N454" s="24" t="str">
        <f t="shared" si="31"/>
        <v>Delivered</v>
      </c>
      <c r="O454" s="24" t="str">
        <f>IF(ROUND(G454-Raw_Data!G468,2)=0,"OK","Corrected")</f>
        <v>OK</v>
      </c>
    </row>
    <row r="455" spans="1:15" x14ac:dyDescent="0.3">
      <c r="A455" s="24" t="str">
        <f>TRIM(Raw_Data!A469)</f>
        <v>AMZ-10316</v>
      </c>
      <c r="B455" s="25">
        <f>Raw_Data!B469</f>
        <v>46292</v>
      </c>
      <c r="C455" s="24" t="str">
        <f>PROPER(TRIM(Raw_Data!C469))</f>
        <v>Air Fryer</v>
      </c>
      <c r="D455" s="24" t="str">
        <f>TRIM(Raw_Data!D469)</f>
        <v>Home &amp; Kitchen</v>
      </c>
      <c r="E455" s="26">
        <f>Raw_Data!E469</f>
        <v>5999</v>
      </c>
      <c r="F455" s="24">
        <f>Raw_Data!F469</f>
        <v>2</v>
      </c>
      <c r="G455" s="26">
        <f t="shared" si="28"/>
        <v>11998</v>
      </c>
      <c r="H455" s="24" t="str">
        <f>PROPER(TRIM(Raw_Data!H469))</f>
        <v>Tanvi Iyer</v>
      </c>
      <c r="I455" s="24" t="str">
        <f>PROPER(TRIM(Raw_Data!I469))</f>
        <v>Kolkata</v>
      </c>
      <c r="J455" s="24" t="str">
        <f>TRIM(Raw_Data!J469)</f>
        <v>Credit Card</v>
      </c>
      <c r="K455" s="24" t="str">
        <f>PROPER(TRIM(Raw_Data!K469))</f>
        <v>Cancelled</v>
      </c>
      <c r="L455" s="24" t="str">
        <f t="shared" si="29"/>
        <v>Sep</v>
      </c>
      <c r="M455" s="24" t="str">
        <f t="shared" si="30"/>
        <v>Sun</v>
      </c>
      <c r="N455" s="24" t="str">
        <f t="shared" si="31"/>
        <v>Cancelled</v>
      </c>
      <c r="O455" s="24" t="str">
        <f>IF(ROUND(G455-Raw_Data!G469,2)=0,"OK","Corrected")</f>
        <v>OK</v>
      </c>
    </row>
    <row r="456" spans="1:15" x14ac:dyDescent="0.3">
      <c r="A456" s="24" t="str">
        <f>TRIM(Raw_Data!A470)</f>
        <v>AMZ-10335</v>
      </c>
      <c r="B456" s="25">
        <f>Raw_Data!B470</f>
        <v>46292</v>
      </c>
      <c r="C456" s="24" t="str">
        <f>PROPER(TRIM(Raw_Data!C470))</f>
        <v>Cotton T-Shirt</v>
      </c>
      <c r="D456" s="24" t="str">
        <f>TRIM(Raw_Data!D470)</f>
        <v>Clothing</v>
      </c>
      <c r="E456" s="26">
        <f>Raw_Data!E470</f>
        <v>599</v>
      </c>
      <c r="F456" s="24">
        <f>Raw_Data!F470</f>
        <v>3</v>
      </c>
      <c r="G456" s="26">
        <f t="shared" si="28"/>
        <v>1797</v>
      </c>
      <c r="H456" s="24" t="str">
        <f>PROPER(TRIM(Raw_Data!H470))</f>
        <v>Aditya Iyer</v>
      </c>
      <c r="I456" s="24" t="str">
        <f>PROPER(TRIM(Raw_Data!I470))</f>
        <v>Mumbai</v>
      </c>
      <c r="J456" s="24" t="str">
        <f>TRIM(Raw_Data!J470)</f>
        <v>Credit Card</v>
      </c>
      <c r="K456" s="24" t="str">
        <f>PROPER(TRIM(Raw_Data!K470))</f>
        <v>Delivered</v>
      </c>
      <c r="L456" s="24" t="str">
        <f t="shared" si="29"/>
        <v>Sep</v>
      </c>
      <c r="M456" s="24" t="str">
        <f t="shared" si="30"/>
        <v>Sun</v>
      </c>
      <c r="N456" s="24" t="str">
        <f t="shared" si="31"/>
        <v>Delivered</v>
      </c>
      <c r="O456" s="24" t="str">
        <f>IF(ROUND(G456-Raw_Data!G470,2)=0,"OK","Corrected")</f>
        <v>OK</v>
      </c>
    </row>
    <row r="457" spans="1:15" x14ac:dyDescent="0.3">
      <c r="A457" s="24" t="str">
        <f>TRIM(Raw_Data!A471)</f>
        <v>AMZ-10341</v>
      </c>
      <c r="B457" s="25">
        <f>Raw_Data!B471</f>
        <v>46292</v>
      </c>
      <c r="C457" s="24" t="str">
        <f>PROPER(TRIM(Raw_Data!C471))</f>
        <v>Water Bottle</v>
      </c>
      <c r="D457" s="24" t="str">
        <f>TRIM(Raw_Data!D471)</f>
        <v>Home &amp; Kitchen</v>
      </c>
      <c r="E457" s="26">
        <f>Raw_Data!E471</f>
        <v>499</v>
      </c>
      <c r="F457" s="24">
        <f>Raw_Data!F471</f>
        <v>2</v>
      </c>
      <c r="G457" s="26">
        <f t="shared" si="28"/>
        <v>998</v>
      </c>
      <c r="H457" s="24" t="str">
        <f>PROPER(TRIM(Raw_Data!H471))</f>
        <v>Neha Mehta</v>
      </c>
      <c r="I457" s="24" t="str">
        <f>PROPER(TRIM(Raw_Data!I471))</f>
        <v>Lucknow</v>
      </c>
      <c r="J457" s="24" t="str">
        <f>TRIM(Raw_Data!J471)</f>
        <v>Credit Card</v>
      </c>
      <c r="K457" s="24" t="str">
        <f>PROPER(TRIM(Raw_Data!K471))</f>
        <v>Delivered</v>
      </c>
      <c r="L457" s="24" t="str">
        <f t="shared" si="29"/>
        <v>Sep</v>
      </c>
      <c r="M457" s="24" t="str">
        <f t="shared" si="30"/>
        <v>Sun</v>
      </c>
      <c r="N457" s="24" t="str">
        <f t="shared" si="31"/>
        <v>Delivered</v>
      </c>
      <c r="O457" s="24" t="str">
        <f>IF(ROUND(G457-Raw_Data!G471,2)=0,"OK","Corrected")</f>
        <v>OK</v>
      </c>
    </row>
    <row r="458" spans="1:15" x14ac:dyDescent="0.3">
      <c r="A458" s="24" t="str">
        <f>TRIM(Raw_Data!A472)</f>
        <v>AMZ-10367</v>
      </c>
      <c r="B458" s="25">
        <f>Raw_Data!B472</f>
        <v>46292</v>
      </c>
      <c r="C458" s="24" t="str">
        <f>PROPER(TRIM(Raw_Data!C472))</f>
        <v>Smart Watch</v>
      </c>
      <c r="D458" s="24" t="str">
        <f>TRIM(Raw_Data!D472)</f>
        <v>Electronics</v>
      </c>
      <c r="E458" s="26">
        <f>Raw_Data!E472</f>
        <v>4999</v>
      </c>
      <c r="F458" s="24">
        <f>Raw_Data!F472</f>
        <v>4</v>
      </c>
      <c r="G458" s="26">
        <f t="shared" si="28"/>
        <v>19996</v>
      </c>
      <c r="H458" s="24" t="str">
        <f>PROPER(TRIM(Raw_Data!H472))</f>
        <v>Ishaan Chopra</v>
      </c>
      <c r="I458" s="24" t="str">
        <f>PROPER(TRIM(Raw_Data!I472))</f>
        <v>Mumbai</v>
      </c>
      <c r="J458" s="24" t="str">
        <f>TRIM(Raw_Data!J472)</f>
        <v>Cash On Delivery</v>
      </c>
      <c r="K458" s="24" t="str">
        <f>PROPER(TRIM(Raw_Data!K472))</f>
        <v>Delivered</v>
      </c>
      <c r="L458" s="24" t="str">
        <f t="shared" si="29"/>
        <v>Sep</v>
      </c>
      <c r="M458" s="24" t="str">
        <f t="shared" si="30"/>
        <v>Sun</v>
      </c>
      <c r="N458" s="24" t="str">
        <f t="shared" si="31"/>
        <v>Delivered</v>
      </c>
      <c r="O458" s="24" t="str">
        <f>IF(ROUND(G458-Raw_Data!G472,2)=0,"OK","Corrected")</f>
        <v>OK</v>
      </c>
    </row>
    <row r="459" spans="1:15" x14ac:dyDescent="0.3">
      <c r="A459" s="24" t="str">
        <f>TRIM(Raw_Data!A473)</f>
        <v>AMZ-10389</v>
      </c>
      <c r="B459" s="25">
        <f>Raw_Data!B473</f>
        <v>46292</v>
      </c>
      <c r="C459" s="24" t="str">
        <f>PROPER(TRIM(Raw_Data!C473))</f>
        <v>Water Bottle</v>
      </c>
      <c r="D459" s="24" t="str">
        <f>TRIM(Raw_Data!D473)</f>
        <v>Home &amp; Kitchen</v>
      </c>
      <c r="E459" s="26">
        <f>Raw_Data!E473</f>
        <v>499</v>
      </c>
      <c r="F459" s="24">
        <f>Raw_Data!F473</f>
        <v>1</v>
      </c>
      <c r="G459" s="26">
        <f t="shared" si="28"/>
        <v>499</v>
      </c>
      <c r="H459" s="24" t="str">
        <f>PROPER(TRIM(Raw_Data!H473))</f>
        <v>Aditya Iyer</v>
      </c>
      <c r="I459" s="24" t="str">
        <f>PROPER(TRIM(Raw_Data!I473))</f>
        <v>Mumbai</v>
      </c>
      <c r="J459" s="24" t="str">
        <f>TRIM(Raw_Data!J473)</f>
        <v>Cash On Delivery</v>
      </c>
      <c r="K459" s="24" t="str">
        <f>PROPER(TRIM(Raw_Data!K473))</f>
        <v>Shipped</v>
      </c>
      <c r="L459" s="24" t="str">
        <f t="shared" si="29"/>
        <v>Sep</v>
      </c>
      <c r="M459" s="24" t="str">
        <f t="shared" si="30"/>
        <v>Sun</v>
      </c>
      <c r="N459" s="24" t="str">
        <f t="shared" si="31"/>
        <v>Pending</v>
      </c>
      <c r="O459" s="24" t="str">
        <f>IF(ROUND(G459-Raw_Data!G473,2)=0,"OK","Corrected")</f>
        <v>OK</v>
      </c>
    </row>
    <row r="460" spans="1:15" x14ac:dyDescent="0.3">
      <c r="A460" s="24" t="str">
        <f>TRIM(Raw_Data!A474)</f>
        <v>AMZ-10427</v>
      </c>
      <c r="B460" s="25">
        <f>Raw_Data!B474</f>
        <v>46292</v>
      </c>
      <c r="C460" s="24" t="str">
        <f>PROPER(TRIM(Raw_Data!C474))</f>
        <v>Self Help Book</v>
      </c>
      <c r="D460" s="24" t="str">
        <f>TRIM(Raw_Data!D474)</f>
        <v>Books</v>
      </c>
      <c r="E460" s="26">
        <f>Raw_Data!E474</f>
        <v>399</v>
      </c>
      <c r="F460" s="24">
        <f>Raw_Data!F474</f>
        <v>2</v>
      </c>
      <c r="G460" s="26">
        <f t="shared" si="28"/>
        <v>798</v>
      </c>
      <c r="H460" s="24" t="str">
        <f>PROPER(TRIM(Raw_Data!H474))</f>
        <v>Aditya Rao</v>
      </c>
      <c r="I460" s="24" t="str">
        <f>PROPER(TRIM(Raw_Data!I474))</f>
        <v>Delhi</v>
      </c>
      <c r="J460" s="24" t="str">
        <f>TRIM(Raw_Data!J474)</f>
        <v>Cash On Delivery</v>
      </c>
      <c r="K460" s="24" t="str">
        <f>PROPER(TRIM(Raw_Data!K474))</f>
        <v>Cancelled</v>
      </c>
      <c r="L460" s="24" t="str">
        <f t="shared" si="29"/>
        <v>Sep</v>
      </c>
      <c r="M460" s="24" t="str">
        <f t="shared" si="30"/>
        <v>Sun</v>
      </c>
      <c r="N460" s="24" t="str">
        <f t="shared" si="31"/>
        <v>Cancelled</v>
      </c>
      <c r="O460" s="24" t="str">
        <f>IF(ROUND(G460-Raw_Data!G474,2)=0,"OK","Corrected")</f>
        <v>OK</v>
      </c>
    </row>
    <row r="461" spans="1:15" x14ac:dyDescent="0.3">
      <c r="A461" s="24" t="str">
        <f>TRIM(Raw_Data!A475)</f>
        <v>AMZ-10007</v>
      </c>
      <c r="B461" s="25">
        <f>Raw_Data!B475</f>
        <v>46293</v>
      </c>
      <c r="C461" s="24" t="str">
        <f>PROPER(TRIM(Raw_Data!C475))</f>
        <v>Wireless Earbuds</v>
      </c>
      <c r="D461" s="24" t="str">
        <f>TRIM(Raw_Data!D475)</f>
        <v>Electronics</v>
      </c>
      <c r="E461" s="26">
        <f>Raw_Data!E475</f>
        <v>2499</v>
      </c>
      <c r="F461" s="24">
        <f>Raw_Data!F475</f>
        <v>1</v>
      </c>
      <c r="G461" s="26">
        <f t="shared" si="28"/>
        <v>2499</v>
      </c>
      <c r="H461" s="24" t="str">
        <f>PROPER(TRIM(Raw_Data!H475))</f>
        <v>Aditya Iyer</v>
      </c>
      <c r="I461" s="24" t="str">
        <f>PROPER(TRIM(Raw_Data!I475))</f>
        <v>Mumbai</v>
      </c>
      <c r="J461" s="24" t="str">
        <f>TRIM(Raw_Data!J475)</f>
        <v>UPI</v>
      </c>
      <c r="K461" s="24" t="str">
        <f>PROPER(TRIM(Raw_Data!K475))</f>
        <v>Delivered</v>
      </c>
      <c r="L461" s="24" t="str">
        <f t="shared" si="29"/>
        <v>Sep</v>
      </c>
      <c r="M461" s="24" t="str">
        <f t="shared" si="30"/>
        <v>Mon</v>
      </c>
      <c r="N461" s="24" t="str">
        <f t="shared" si="31"/>
        <v>Delivered</v>
      </c>
      <c r="O461" s="24" t="str">
        <f>IF(ROUND(G461-Raw_Data!G475,2)=0,"OK","Corrected")</f>
        <v>OK</v>
      </c>
    </row>
    <row r="462" spans="1:15" x14ac:dyDescent="0.3">
      <c r="A462" s="24" t="str">
        <f>TRIM(Raw_Data!A476)</f>
        <v>AMZ-10030</v>
      </c>
      <c r="B462" s="25">
        <f>Raw_Data!B476</f>
        <v>46293</v>
      </c>
      <c r="C462" s="24" t="str">
        <f>PROPER(TRIM(Raw_Data!C476))</f>
        <v>Python Programming Book</v>
      </c>
      <c r="D462" s="24" t="str">
        <f>TRIM(Raw_Data!D476)</f>
        <v>Books</v>
      </c>
      <c r="E462" s="26">
        <f>Raw_Data!E476</f>
        <v>699</v>
      </c>
      <c r="F462" s="24">
        <f>Raw_Data!F476</f>
        <v>1</v>
      </c>
      <c r="G462" s="26">
        <f t="shared" si="28"/>
        <v>699</v>
      </c>
      <c r="H462" s="24" t="str">
        <f>PROPER(TRIM(Raw_Data!H476))</f>
        <v>Priya Reddy</v>
      </c>
      <c r="I462" s="24" t="str">
        <f>PROPER(TRIM(Raw_Data!I476))</f>
        <v>Mumbai</v>
      </c>
      <c r="J462" s="24" t="str">
        <f>TRIM(Raw_Data!J476)</f>
        <v>UPI</v>
      </c>
      <c r="K462" s="24" t="str">
        <f>PROPER(TRIM(Raw_Data!K476))</f>
        <v>Delivered</v>
      </c>
      <c r="L462" s="24" t="str">
        <f t="shared" si="29"/>
        <v>Sep</v>
      </c>
      <c r="M462" s="24" t="str">
        <f t="shared" si="30"/>
        <v>Mon</v>
      </c>
      <c r="N462" s="24" t="str">
        <f t="shared" si="31"/>
        <v>Delivered</v>
      </c>
      <c r="O462" s="24" t="str">
        <f>IF(ROUND(G462-Raw_Data!G476,2)=0,"OK","Corrected")</f>
        <v>OK</v>
      </c>
    </row>
    <row r="463" spans="1:15" x14ac:dyDescent="0.3">
      <c r="A463" s="24" t="str">
        <f>TRIM(Raw_Data!A477)</f>
        <v>AMZ-10138</v>
      </c>
      <c r="B463" s="25">
        <f>Raw_Data!B477</f>
        <v>46293</v>
      </c>
      <c r="C463" s="24" t="str">
        <f>PROPER(TRIM(Raw_Data!C477))</f>
        <v>Denim Jeans</v>
      </c>
      <c r="D463" s="24" t="str">
        <f>TRIM(Raw_Data!D477)</f>
        <v>Clothing</v>
      </c>
      <c r="E463" s="26">
        <f>Raw_Data!E477</f>
        <v>1799</v>
      </c>
      <c r="F463" s="24">
        <f>Raw_Data!F477</f>
        <v>1</v>
      </c>
      <c r="G463" s="26">
        <f t="shared" si="28"/>
        <v>1799</v>
      </c>
      <c r="H463" s="24" t="str">
        <f>PROPER(TRIM(Raw_Data!H477))</f>
        <v>Aditya Singh</v>
      </c>
      <c r="I463" s="24" t="str">
        <f>PROPER(TRIM(Raw_Data!I477))</f>
        <v>Delhi</v>
      </c>
      <c r="J463" s="24" t="str">
        <f>TRIM(Raw_Data!J477)</f>
        <v>Cash On Delivery</v>
      </c>
      <c r="K463" s="24" t="str">
        <f>PROPER(TRIM(Raw_Data!K477))</f>
        <v>Delivered</v>
      </c>
      <c r="L463" s="24" t="str">
        <f t="shared" si="29"/>
        <v>Sep</v>
      </c>
      <c r="M463" s="24" t="str">
        <f t="shared" si="30"/>
        <v>Mon</v>
      </c>
      <c r="N463" s="24" t="str">
        <f t="shared" si="31"/>
        <v>Delivered</v>
      </c>
      <c r="O463" s="24" t="str">
        <f>IF(ROUND(G463-Raw_Data!G477,2)=0,"OK","Corrected")</f>
        <v>OK</v>
      </c>
    </row>
    <row r="464" spans="1:15" x14ac:dyDescent="0.3">
      <c r="A464" s="24" t="str">
        <f>TRIM(Raw_Data!A478)</f>
        <v>AMZ-10141</v>
      </c>
      <c r="B464" s="25">
        <f>Raw_Data!B478</f>
        <v>46293</v>
      </c>
      <c r="C464" s="24" t="str">
        <f>PROPER(TRIM(Raw_Data!C478))</f>
        <v>Wireless Earbuds</v>
      </c>
      <c r="D464" s="24" t="str">
        <f>TRIM(Raw_Data!D478)</f>
        <v>Electronics</v>
      </c>
      <c r="E464" s="26">
        <f>Raw_Data!E478</f>
        <v>2499</v>
      </c>
      <c r="F464" s="24">
        <f>Raw_Data!F478</f>
        <v>1</v>
      </c>
      <c r="G464" s="26">
        <f t="shared" si="28"/>
        <v>2499</v>
      </c>
      <c r="H464" s="24" t="str">
        <f>PROPER(TRIM(Raw_Data!H478))</f>
        <v>Sahil Sharma</v>
      </c>
      <c r="I464" s="24" t="str">
        <f>PROPER(TRIM(Raw_Data!I478))</f>
        <v>Ahmedabad</v>
      </c>
      <c r="J464" s="24" t="str">
        <f>TRIM(Raw_Data!J478)</f>
        <v>Credit Card</v>
      </c>
      <c r="K464" s="24" t="str">
        <f>PROPER(TRIM(Raw_Data!K478))</f>
        <v>Shipped</v>
      </c>
      <c r="L464" s="24" t="str">
        <f t="shared" si="29"/>
        <v>Sep</v>
      </c>
      <c r="M464" s="24" t="str">
        <f t="shared" si="30"/>
        <v>Mon</v>
      </c>
      <c r="N464" s="24" t="str">
        <f t="shared" si="31"/>
        <v>Pending</v>
      </c>
      <c r="O464" s="24" t="str">
        <f>IF(ROUND(G464-Raw_Data!G478,2)=0,"OK","Corrected")</f>
        <v>OK</v>
      </c>
    </row>
    <row r="465" spans="1:15" x14ac:dyDescent="0.3">
      <c r="A465" s="24" t="str">
        <f>TRIM(Raw_Data!A479)</f>
        <v>AMZ-10142</v>
      </c>
      <c r="B465" s="25">
        <f>Raw_Data!B479</f>
        <v>46293</v>
      </c>
      <c r="C465" s="24" t="str">
        <f>PROPER(TRIM(Raw_Data!C479))</f>
        <v>Water Bottle</v>
      </c>
      <c r="D465" s="24" t="str">
        <f>TRIM(Raw_Data!D479)</f>
        <v>Home &amp; Kitchen</v>
      </c>
      <c r="E465" s="26">
        <f>Raw_Data!E479</f>
        <v>499</v>
      </c>
      <c r="F465" s="24">
        <f>Raw_Data!F479</f>
        <v>3</v>
      </c>
      <c r="G465" s="26">
        <f t="shared" si="28"/>
        <v>1497</v>
      </c>
      <c r="H465" s="24" t="str">
        <f>PROPER(TRIM(Raw_Data!H479))</f>
        <v>Nikhil Reddy</v>
      </c>
      <c r="I465" s="24" t="str">
        <f>PROPER(TRIM(Raw_Data!I479))</f>
        <v>Chennai</v>
      </c>
      <c r="J465" s="24" t="str">
        <f>TRIM(Raw_Data!J479)</f>
        <v>Credit Card</v>
      </c>
      <c r="K465" s="24" t="str">
        <f>PROPER(TRIM(Raw_Data!K479))</f>
        <v>Delivered</v>
      </c>
      <c r="L465" s="24" t="str">
        <f t="shared" si="29"/>
        <v>Sep</v>
      </c>
      <c r="M465" s="24" t="str">
        <f t="shared" si="30"/>
        <v>Mon</v>
      </c>
      <c r="N465" s="24" t="str">
        <f t="shared" si="31"/>
        <v>Delivered</v>
      </c>
      <c r="O465" s="24" t="str">
        <f>IF(ROUND(G465-Raw_Data!G479,2)=0,"OK","Corrected")</f>
        <v>OK</v>
      </c>
    </row>
    <row r="466" spans="1:15" x14ac:dyDescent="0.3">
      <c r="A466" s="24" t="str">
        <f>TRIM(Raw_Data!A480)</f>
        <v>AMZ-10162</v>
      </c>
      <c r="B466" s="25">
        <f>Raw_Data!B480</f>
        <v>46293</v>
      </c>
      <c r="C466" s="24" t="str">
        <f>PROPER(TRIM(Raw_Data!C480))</f>
        <v>Water Bottle</v>
      </c>
      <c r="D466" s="24" t="str">
        <f>TRIM(Raw_Data!D480)</f>
        <v>Home &amp; Kitchen</v>
      </c>
      <c r="E466" s="26">
        <f>Raw_Data!E480</f>
        <v>499</v>
      </c>
      <c r="F466" s="24">
        <f>Raw_Data!F480</f>
        <v>2</v>
      </c>
      <c r="G466" s="26">
        <f t="shared" si="28"/>
        <v>998</v>
      </c>
      <c r="H466" s="24" t="str">
        <f>PROPER(TRIM(Raw_Data!H480))</f>
        <v>Neha Mehta</v>
      </c>
      <c r="I466" s="24" t="str">
        <f>PROPER(TRIM(Raw_Data!I480))</f>
        <v>Lucknow</v>
      </c>
      <c r="J466" s="24" t="str">
        <f>TRIM(Raw_Data!J480)</f>
        <v>Cash On Delivery</v>
      </c>
      <c r="K466" s="24" t="str">
        <f>PROPER(TRIM(Raw_Data!K480))</f>
        <v>Delivered</v>
      </c>
      <c r="L466" s="24" t="str">
        <f t="shared" si="29"/>
        <v>Sep</v>
      </c>
      <c r="M466" s="24" t="str">
        <f t="shared" si="30"/>
        <v>Mon</v>
      </c>
      <c r="N466" s="24" t="str">
        <f t="shared" si="31"/>
        <v>Delivered</v>
      </c>
      <c r="O466" s="24" t="str">
        <f>IF(ROUND(G466-Raw_Data!G480,2)=0,"OK","Corrected")</f>
        <v>OK</v>
      </c>
    </row>
    <row r="467" spans="1:15" x14ac:dyDescent="0.3">
      <c r="A467" s="24" t="str">
        <f>TRIM(Raw_Data!A481)</f>
        <v>AMZ-10186</v>
      </c>
      <c r="B467" s="25">
        <f>Raw_Data!B481</f>
        <v>46293</v>
      </c>
      <c r="C467" s="24" t="str">
        <f>PROPER(TRIM(Raw_Data!C481))</f>
        <v>Casual Sneakers</v>
      </c>
      <c r="D467" s="24" t="str">
        <f>TRIM(Raw_Data!D481)</f>
        <v>Footwear</v>
      </c>
      <c r="E467" s="26">
        <f>Raw_Data!E481</f>
        <v>2199</v>
      </c>
      <c r="F467" s="24">
        <f>Raw_Data!F481</f>
        <v>2</v>
      </c>
      <c r="G467" s="26">
        <f t="shared" si="28"/>
        <v>4398</v>
      </c>
      <c r="H467" s="24" t="str">
        <f>PROPER(TRIM(Raw_Data!H481))</f>
        <v>Anjali Mehta</v>
      </c>
      <c r="I467" s="24" t="str">
        <f>PROPER(TRIM(Raw_Data!I481))</f>
        <v>Mumbai</v>
      </c>
      <c r="J467" s="24" t="str">
        <f>TRIM(Raw_Data!J481)</f>
        <v>Debit Card</v>
      </c>
      <c r="K467" s="24" t="str">
        <f>PROPER(TRIM(Raw_Data!K481))</f>
        <v>Pending</v>
      </c>
      <c r="L467" s="24" t="str">
        <f t="shared" si="29"/>
        <v>Sep</v>
      </c>
      <c r="M467" s="24" t="str">
        <f t="shared" si="30"/>
        <v>Mon</v>
      </c>
      <c r="N467" s="24" t="str">
        <f t="shared" si="31"/>
        <v>Pending</v>
      </c>
      <c r="O467" s="24" t="str">
        <f>IF(ROUND(G467-Raw_Data!G481,2)=0,"OK","Corrected")</f>
        <v>OK</v>
      </c>
    </row>
    <row r="468" spans="1:15" x14ac:dyDescent="0.3">
      <c r="A468" s="24" t="str">
        <f>TRIM(Raw_Data!A482)</f>
        <v>AMZ-10192</v>
      </c>
      <c r="B468" s="25">
        <f>Raw_Data!B482</f>
        <v>46293</v>
      </c>
      <c r="C468" s="24" t="str">
        <f>PROPER(TRIM(Raw_Data!C482))</f>
        <v>Cotton T-Shirt</v>
      </c>
      <c r="D468" s="24" t="str">
        <f>TRIM(Raw_Data!D482)</f>
        <v>Clothing</v>
      </c>
      <c r="E468" s="26">
        <f>Raw_Data!E482</f>
        <v>599</v>
      </c>
      <c r="F468" s="24">
        <f>Raw_Data!F482</f>
        <v>3</v>
      </c>
      <c r="G468" s="26">
        <f t="shared" si="28"/>
        <v>1797</v>
      </c>
      <c r="H468" s="24" t="str">
        <f>PROPER(TRIM(Raw_Data!H482))</f>
        <v>Nikhil Joshi</v>
      </c>
      <c r="I468" s="24" t="str">
        <f>PROPER(TRIM(Raw_Data!I482))</f>
        <v>Lucknow</v>
      </c>
      <c r="J468" s="24" t="str">
        <f>TRIM(Raw_Data!J482)</f>
        <v>Cash On Delivery</v>
      </c>
      <c r="K468" s="24" t="str">
        <f>PROPER(TRIM(Raw_Data!K482))</f>
        <v>Delivered</v>
      </c>
      <c r="L468" s="24" t="str">
        <f t="shared" si="29"/>
        <v>Sep</v>
      </c>
      <c r="M468" s="24" t="str">
        <f t="shared" si="30"/>
        <v>Mon</v>
      </c>
      <c r="N468" s="24" t="str">
        <f t="shared" si="31"/>
        <v>Delivered</v>
      </c>
      <c r="O468" s="24" t="str">
        <f>IF(ROUND(G468-Raw_Data!G482,2)=0,"OK","Corrected")</f>
        <v>OK</v>
      </c>
    </row>
    <row r="469" spans="1:15" x14ac:dyDescent="0.3">
      <c r="A469" s="24" t="str">
        <f>TRIM(Raw_Data!A483)</f>
        <v>AMZ-10194</v>
      </c>
      <c r="B469" s="25">
        <f>Raw_Data!B483</f>
        <v>46293</v>
      </c>
      <c r="C469" s="24" t="str">
        <f>PROPER(TRIM(Raw_Data!C483))</f>
        <v>Sandals</v>
      </c>
      <c r="D469" s="24" t="str">
        <f>TRIM(Raw_Data!D483)</f>
        <v>Footwear</v>
      </c>
      <c r="E469" s="26">
        <f>Raw_Data!E483</f>
        <v>899</v>
      </c>
      <c r="F469" s="24">
        <f>Raw_Data!F483</f>
        <v>2</v>
      </c>
      <c r="G469" s="26">
        <f t="shared" si="28"/>
        <v>1798</v>
      </c>
      <c r="H469" s="24" t="str">
        <f>PROPER(TRIM(Raw_Data!H483))</f>
        <v>Meera Rao</v>
      </c>
      <c r="I469" s="24" t="str">
        <f>PROPER(TRIM(Raw_Data!I483))</f>
        <v>Delhi</v>
      </c>
      <c r="J469" s="24" t="str">
        <f>TRIM(Raw_Data!J483)</f>
        <v>Credit Card</v>
      </c>
      <c r="K469" s="24" t="str">
        <f>PROPER(TRIM(Raw_Data!K483))</f>
        <v>Delivered</v>
      </c>
      <c r="L469" s="24" t="str">
        <f t="shared" si="29"/>
        <v>Sep</v>
      </c>
      <c r="M469" s="24" t="str">
        <f t="shared" si="30"/>
        <v>Mon</v>
      </c>
      <c r="N469" s="24" t="str">
        <f t="shared" si="31"/>
        <v>Delivered</v>
      </c>
      <c r="O469" s="24" t="str">
        <f>IF(ROUND(G469-Raw_Data!G483,2)=0,"OK","Corrected")</f>
        <v>OK</v>
      </c>
    </row>
    <row r="470" spans="1:15" x14ac:dyDescent="0.3">
      <c r="A470" s="24" t="str">
        <f>TRIM(Raw_Data!A484)</f>
        <v>AMZ-10195</v>
      </c>
      <c r="B470" s="25">
        <f>Raw_Data!B484</f>
        <v>46293</v>
      </c>
      <c r="C470" s="24" t="str">
        <f>PROPER(TRIM(Raw_Data!C484))</f>
        <v>Power Bank</v>
      </c>
      <c r="D470" s="24" t="str">
        <f>TRIM(Raw_Data!D484)</f>
        <v>Electronics</v>
      </c>
      <c r="E470" s="26">
        <f>Raw_Data!E484</f>
        <v>1299</v>
      </c>
      <c r="F470" s="24">
        <f>Raw_Data!F484</f>
        <v>1</v>
      </c>
      <c r="G470" s="26">
        <f t="shared" si="28"/>
        <v>1299</v>
      </c>
      <c r="H470" s="24" t="str">
        <f>PROPER(TRIM(Raw_Data!H484))</f>
        <v>Nikhil Joshi</v>
      </c>
      <c r="I470" s="24" t="str">
        <f>PROPER(TRIM(Raw_Data!I484))</f>
        <v>Lucknow</v>
      </c>
      <c r="J470" s="24" t="str">
        <f>TRIM(Raw_Data!J484)</f>
        <v>Credit Card</v>
      </c>
      <c r="K470" s="24" t="str">
        <f>PROPER(TRIM(Raw_Data!K484))</f>
        <v>Cancelled</v>
      </c>
      <c r="L470" s="24" t="str">
        <f t="shared" si="29"/>
        <v>Sep</v>
      </c>
      <c r="M470" s="24" t="str">
        <f t="shared" si="30"/>
        <v>Mon</v>
      </c>
      <c r="N470" s="24" t="str">
        <f t="shared" si="31"/>
        <v>Cancelled</v>
      </c>
      <c r="O470" s="24" t="str">
        <f>IF(ROUND(G470-Raw_Data!G484,2)=0,"OK","Corrected")</f>
        <v>OK</v>
      </c>
    </row>
    <row r="471" spans="1:15" x14ac:dyDescent="0.3">
      <c r="A471" s="24" t="str">
        <f>TRIM(Raw_Data!A485)</f>
        <v>AMZ-10242</v>
      </c>
      <c r="B471" s="25">
        <f>Raw_Data!B485</f>
        <v>46293</v>
      </c>
      <c r="C471" s="24" t="str">
        <f>PROPER(TRIM(Raw_Data!C485))</f>
        <v>Cotton T-Shirt</v>
      </c>
      <c r="D471" s="24" t="str">
        <f>TRIM(Raw_Data!D485)</f>
        <v>Clothing</v>
      </c>
      <c r="E471" s="26">
        <f>Raw_Data!E485</f>
        <v>599</v>
      </c>
      <c r="F471" s="24">
        <f>Raw_Data!F485</f>
        <v>1</v>
      </c>
      <c r="G471" s="26">
        <f t="shared" si="28"/>
        <v>599</v>
      </c>
      <c r="H471" s="24" t="str">
        <f>PROPER(TRIM(Raw_Data!H485))</f>
        <v>Nikhil Rao</v>
      </c>
      <c r="I471" s="24" t="str">
        <f>PROPER(TRIM(Raw_Data!I485))</f>
        <v>Chennai</v>
      </c>
      <c r="J471" s="24" t="str">
        <f>TRIM(Raw_Data!J485)</f>
        <v>UPI</v>
      </c>
      <c r="K471" s="24" t="str">
        <f>PROPER(TRIM(Raw_Data!K485))</f>
        <v>Pending</v>
      </c>
      <c r="L471" s="24" t="str">
        <f t="shared" si="29"/>
        <v>Sep</v>
      </c>
      <c r="M471" s="24" t="str">
        <f t="shared" si="30"/>
        <v>Mon</v>
      </c>
      <c r="N471" s="24" t="str">
        <f t="shared" si="31"/>
        <v>Pending</v>
      </c>
      <c r="O471" s="24" t="str">
        <f>IF(ROUND(G471-Raw_Data!G485,2)=0,"OK","Corrected")</f>
        <v>OK</v>
      </c>
    </row>
    <row r="472" spans="1:15" x14ac:dyDescent="0.3">
      <c r="A472" s="24" t="str">
        <f>TRIM(Raw_Data!A486)</f>
        <v>AMZ-10286</v>
      </c>
      <c r="B472" s="25">
        <f>Raw_Data!B486</f>
        <v>46293</v>
      </c>
      <c r="C472" s="24" t="str">
        <f>PROPER(TRIM(Raw_Data!C486))</f>
        <v>Denim Jeans</v>
      </c>
      <c r="D472" s="24" t="str">
        <f>TRIM(Raw_Data!D486)</f>
        <v>Clothing</v>
      </c>
      <c r="E472" s="26">
        <f>Raw_Data!E486</f>
        <v>1799</v>
      </c>
      <c r="F472" s="24">
        <f>Raw_Data!F486</f>
        <v>1</v>
      </c>
      <c r="G472" s="26">
        <f t="shared" si="28"/>
        <v>1799</v>
      </c>
      <c r="H472" s="24" t="str">
        <f>PROPER(TRIM(Raw_Data!H486))</f>
        <v>Vivaan Joshi</v>
      </c>
      <c r="I472" s="24" t="str">
        <f>PROPER(TRIM(Raw_Data!I486))</f>
        <v>Pune</v>
      </c>
      <c r="J472" s="24" t="str">
        <f>TRIM(Raw_Data!J486)</f>
        <v>UPI</v>
      </c>
      <c r="K472" s="24" t="str">
        <f>PROPER(TRIM(Raw_Data!K486))</f>
        <v>Delivered</v>
      </c>
      <c r="L472" s="24" t="str">
        <f t="shared" si="29"/>
        <v>Sep</v>
      </c>
      <c r="M472" s="24" t="str">
        <f t="shared" si="30"/>
        <v>Mon</v>
      </c>
      <c r="N472" s="24" t="str">
        <f t="shared" si="31"/>
        <v>Delivered</v>
      </c>
      <c r="O472" s="24" t="str">
        <f>IF(ROUND(G472-Raw_Data!G486,2)=0,"OK","Corrected")</f>
        <v>OK</v>
      </c>
    </row>
    <row r="473" spans="1:15" x14ac:dyDescent="0.3">
      <c r="A473" s="24" t="str">
        <f>TRIM(Raw_Data!A487)</f>
        <v>AMZ-10299</v>
      </c>
      <c r="B473" s="25">
        <f>Raw_Data!B487</f>
        <v>46293</v>
      </c>
      <c r="C473" s="24" t="str">
        <f>PROPER(TRIM(Raw_Data!C487))</f>
        <v>Casual Sneakers</v>
      </c>
      <c r="D473" s="24" t="str">
        <f>TRIM(Raw_Data!D487)</f>
        <v>Footwear</v>
      </c>
      <c r="E473" s="26">
        <f>Raw_Data!E487</f>
        <v>2199</v>
      </c>
      <c r="F473" s="24">
        <f>Raw_Data!F487</f>
        <v>2</v>
      </c>
      <c r="G473" s="26">
        <f t="shared" si="28"/>
        <v>4398</v>
      </c>
      <c r="H473" s="24" t="str">
        <f>PROPER(TRIM(Raw_Data!H487))</f>
        <v>Ishaan Gupta</v>
      </c>
      <c r="I473" s="24" t="str">
        <f>PROPER(TRIM(Raw_Data!I487))</f>
        <v>Lucknow</v>
      </c>
      <c r="J473" s="24" t="str">
        <f>TRIM(Raw_Data!J487)</f>
        <v>Cash On Delivery</v>
      </c>
      <c r="K473" s="24" t="str">
        <f>PROPER(TRIM(Raw_Data!K487))</f>
        <v>Cancelled</v>
      </c>
      <c r="L473" s="24" t="str">
        <f t="shared" si="29"/>
        <v>Sep</v>
      </c>
      <c r="M473" s="24" t="str">
        <f t="shared" si="30"/>
        <v>Mon</v>
      </c>
      <c r="N473" s="24" t="str">
        <f t="shared" si="31"/>
        <v>Cancelled</v>
      </c>
      <c r="O473" s="24" t="str">
        <f>IF(ROUND(G473-Raw_Data!G487,2)=0,"OK","Corrected")</f>
        <v>OK</v>
      </c>
    </row>
    <row r="474" spans="1:15" x14ac:dyDescent="0.3">
      <c r="A474" s="24" t="str">
        <f>TRIM(Raw_Data!A488)</f>
        <v>AMZ-10338</v>
      </c>
      <c r="B474" s="25">
        <f>Raw_Data!B488</f>
        <v>46293</v>
      </c>
      <c r="C474" s="24" t="str">
        <f>PROPER(TRIM(Raw_Data!C488))</f>
        <v>Air Fryer</v>
      </c>
      <c r="D474" s="24" t="str">
        <f>TRIM(Raw_Data!D488)</f>
        <v>Home &amp; Kitchen</v>
      </c>
      <c r="E474" s="26">
        <f>Raw_Data!E488</f>
        <v>5999</v>
      </c>
      <c r="F474" s="24">
        <f>Raw_Data!F488</f>
        <v>3</v>
      </c>
      <c r="G474" s="26">
        <f t="shared" si="28"/>
        <v>17997</v>
      </c>
      <c r="H474" s="24" t="str">
        <f>PROPER(TRIM(Raw_Data!H488))</f>
        <v>Anjali Verma</v>
      </c>
      <c r="I474" s="24" t="str">
        <f>PROPER(TRIM(Raw_Data!I488))</f>
        <v>Mumbai</v>
      </c>
      <c r="J474" s="24" t="str">
        <f>TRIM(Raw_Data!J488)</f>
        <v>Credit Card</v>
      </c>
      <c r="K474" s="24" t="str">
        <f>PROPER(TRIM(Raw_Data!K488))</f>
        <v>Delivered</v>
      </c>
      <c r="L474" s="24" t="str">
        <f t="shared" si="29"/>
        <v>Sep</v>
      </c>
      <c r="M474" s="24" t="str">
        <f t="shared" si="30"/>
        <v>Mon</v>
      </c>
      <c r="N474" s="24" t="str">
        <f t="shared" si="31"/>
        <v>Delivered</v>
      </c>
      <c r="O474" s="24" t="str">
        <f>IF(ROUND(G474-Raw_Data!G488,2)=0,"OK","Corrected")</f>
        <v>OK</v>
      </c>
    </row>
    <row r="475" spans="1:15" x14ac:dyDescent="0.3">
      <c r="A475" s="24" t="str">
        <f>TRIM(Raw_Data!A489)</f>
        <v>AMZ-10400</v>
      </c>
      <c r="B475" s="25">
        <f>Raw_Data!B489</f>
        <v>46293</v>
      </c>
      <c r="C475" s="24" t="str">
        <f>PROPER(TRIM(Raw_Data!C489))</f>
        <v>Casual Sneakers</v>
      </c>
      <c r="D475" s="24" t="str">
        <f>TRIM(Raw_Data!D489)</f>
        <v>Footwear</v>
      </c>
      <c r="E475" s="26">
        <f>Raw_Data!E489</f>
        <v>2199</v>
      </c>
      <c r="F475" s="24">
        <f>Raw_Data!F489</f>
        <v>2</v>
      </c>
      <c r="G475" s="26">
        <f t="shared" si="28"/>
        <v>4398</v>
      </c>
      <c r="H475" s="24" t="str">
        <f>PROPER(TRIM(Raw_Data!H489))</f>
        <v>Priya Iyer</v>
      </c>
      <c r="I475" s="24" t="str">
        <f>PROPER(TRIM(Raw_Data!I489))</f>
        <v>Delhi</v>
      </c>
      <c r="J475" s="24" t="str">
        <f>TRIM(Raw_Data!J489)</f>
        <v>Net Banking</v>
      </c>
      <c r="K475" s="24" t="str">
        <f>PROPER(TRIM(Raw_Data!K489))</f>
        <v>Pending</v>
      </c>
      <c r="L475" s="24" t="str">
        <f t="shared" si="29"/>
        <v>Sep</v>
      </c>
      <c r="M475" s="24" t="str">
        <f t="shared" si="30"/>
        <v>Mon</v>
      </c>
      <c r="N475" s="24" t="str">
        <f t="shared" si="31"/>
        <v>Pending</v>
      </c>
      <c r="O475" s="24" t="str">
        <f>IF(ROUND(G475-Raw_Data!G489,2)=0,"OK","Corrected")</f>
        <v>OK</v>
      </c>
    </row>
    <row r="476" spans="1:15" x14ac:dyDescent="0.3">
      <c r="A476" s="24" t="str">
        <f>TRIM(Raw_Data!A490)</f>
        <v>AMZ-10401</v>
      </c>
      <c r="B476" s="25">
        <f>Raw_Data!B490</f>
        <v>46293</v>
      </c>
      <c r="C476" s="24" t="str">
        <f>PROPER(TRIM(Raw_Data!C490))</f>
        <v>Cotton T-Shirt</v>
      </c>
      <c r="D476" s="24" t="str">
        <f>TRIM(Raw_Data!D490)</f>
        <v>Clothing</v>
      </c>
      <c r="E476" s="26">
        <f>Raw_Data!E490</f>
        <v>599</v>
      </c>
      <c r="F476" s="24">
        <f>Raw_Data!F490</f>
        <v>1</v>
      </c>
      <c r="G476" s="26">
        <f t="shared" si="28"/>
        <v>599</v>
      </c>
      <c r="H476" s="24" t="str">
        <f>PROPER(TRIM(Raw_Data!H490))</f>
        <v>Vivaan Iyer</v>
      </c>
      <c r="I476" s="24" t="str">
        <f>PROPER(TRIM(Raw_Data!I490))</f>
        <v>Pune</v>
      </c>
      <c r="J476" s="24" t="str">
        <f>TRIM(Raw_Data!J490)</f>
        <v>Debit Card</v>
      </c>
      <c r="K476" s="24" t="str">
        <f>PROPER(TRIM(Raw_Data!K490))</f>
        <v>Delivered</v>
      </c>
      <c r="L476" s="24" t="str">
        <f t="shared" si="29"/>
        <v>Sep</v>
      </c>
      <c r="M476" s="24" t="str">
        <f t="shared" si="30"/>
        <v>Mon</v>
      </c>
      <c r="N476" s="24" t="str">
        <f t="shared" si="31"/>
        <v>Delivered</v>
      </c>
      <c r="O476" s="24" t="str">
        <f>IF(ROUND(G476-Raw_Data!G490,2)=0,"OK","Corrected")</f>
        <v>OK</v>
      </c>
    </row>
    <row r="477" spans="1:15" x14ac:dyDescent="0.3">
      <c r="A477" s="24" t="str">
        <f>TRIM(Raw_Data!A491)</f>
        <v>AMZ-10475</v>
      </c>
      <c r="B477" s="25">
        <f>Raw_Data!B491</f>
        <v>46293</v>
      </c>
      <c r="C477" s="24" t="str">
        <f>PROPER(TRIM(Raw_Data!C491))</f>
        <v>Cotton T-Shirt</v>
      </c>
      <c r="D477" s="24" t="str">
        <f>TRIM(Raw_Data!D491)</f>
        <v>Clothing</v>
      </c>
      <c r="E477" s="26">
        <f>Raw_Data!E491</f>
        <v>599</v>
      </c>
      <c r="F477" s="24">
        <f>Raw_Data!F491</f>
        <v>1</v>
      </c>
      <c r="G477" s="26">
        <f t="shared" si="28"/>
        <v>599</v>
      </c>
      <c r="H477" s="24" t="str">
        <f>PROPER(TRIM(Raw_Data!H491))</f>
        <v>Vivaan Sharma</v>
      </c>
      <c r="I477" s="24" t="str">
        <f>PROPER(TRIM(Raw_Data!I491))</f>
        <v>Mumbai</v>
      </c>
      <c r="J477" s="24" t="str">
        <f>TRIM(Raw_Data!J491)</f>
        <v>UPI</v>
      </c>
      <c r="K477" s="24" t="str">
        <f>PROPER(TRIM(Raw_Data!K491))</f>
        <v>Delivered</v>
      </c>
      <c r="L477" s="24" t="str">
        <f t="shared" si="29"/>
        <v>Sep</v>
      </c>
      <c r="M477" s="24" t="str">
        <f t="shared" si="30"/>
        <v>Mon</v>
      </c>
      <c r="N477" s="24" t="str">
        <f t="shared" si="31"/>
        <v>Delivered</v>
      </c>
      <c r="O477" s="24" t="str">
        <f>IF(ROUND(G477-Raw_Data!G491,2)=0,"OK","Corrected")</f>
        <v>OK</v>
      </c>
    </row>
    <row r="478" spans="1:15" x14ac:dyDescent="0.3">
      <c r="A478" s="24" t="str">
        <f>TRIM(Raw_Data!A492)</f>
        <v>AMZ-10038</v>
      </c>
      <c r="B478" s="25">
        <f>Raw_Data!B492</f>
        <v>46294</v>
      </c>
      <c r="C478" s="24" t="str">
        <f>PROPER(TRIM(Raw_Data!C492))</f>
        <v>Bluetooth Speaker</v>
      </c>
      <c r="D478" s="24" t="str">
        <f>TRIM(Raw_Data!D492)</f>
        <v>Electronics</v>
      </c>
      <c r="E478" s="26">
        <f>Raw_Data!E492</f>
        <v>1999</v>
      </c>
      <c r="F478" s="24">
        <f>Raw_Data!F492</f>
        <v>2</v>
      </c>
      <c r="G478" s="26">
        <f t="shared" si="28"/>
        <v>3998</v>
      </c>
      <c r="H478" s="24" t="str">
        <f>PROPER(TRIM(Raw_Data!H492))</f>
        <v>Arjun Joshi</v>
      </c>
      <c r="I478" s="24" t="str">
        <f>PROPER(TRIM(Raw_Data!I492))</f>
        <v>Bangalore</v>
      </c>
      <c r="J478" s="24" t="str">
        <f>TRIM(Raw_Data!J492)</f>
        <v>Credit Card</v>
      </c>
      <c r="K478" s="24" t="str">
        <f>PROPER(TRIM(Raw_Data!K492))</f>
        <v>Delivered</v>
      </c>
      <c r="L478" s="24" t="str">
        <f t="shared" si="29"/>
        <v>Sep</v>
      </c>
      <c r="M478" s="24" t="str">
        <f t="shared" si="30"/>
        <v>Tue</v>
      </c>
      <c r="N478" s="24" t="str">
        <f t="shared" si="31"/>
        <v>Delivered</v>
      </c>
      <c r="O478" s="24" t="str">
        <f>IF(ROUND(G478-Raw_Data!G492,2)=0,"OK","Corrected")</f>
        <v>OK</v>
      </c>
    </row>
    <row r="479" spans="1:15" x14ac:dyDescent="0.3">
      <c r="A479" s="24" t="str">
        <f>TRIM(Raw_Data!A493)</f>
        <v>AMZ-10059</v>
      </c>
      <c r="B479" s="25">
        <f>Raw_Data!B493</f>
        <v>46294</v>
      </c>
      <c r="C479" s="24" t="str">
        <f>PROPER(TRIM(Raw_Data!C493))</f>
        <v>Wireless Earbuds</v>
      </c>
      <c r="D479" s="24" t="str">
        <f>TRIM(Raw_Data!D493)</f>
        <v>Electronics</v>
      </c>
      <c r="E479" s="26">
        <f>Raw_Data!E493</f>
        <v>2499</v>
      </c>
      <c r="F479" s="24">
        <f>Raw_Data!F493</f>
        <v>2</v>
      </c>
      <c r="G479" s="26">
        <f t="shared" si="28"/>
        <v>4998</v>
      </c>
      <c r="H479" s="24" t="str">
        <f>PROPER(TRIM(Raw_Data!H493))</f>
        <v>Tanvi Iyer</v>
      </c>
      <c r="I479" s="24" t="str">
        <f>PROPER(TRIM(Raw_Data!I493))</f>
        <v>Kolkata</v>
      </c>
      <c r="J479" s="24" t="str">
        <f>TRIM(Raw_Data!J493)</f>
        <v>UPI</v>
      </c>
      <c r="K479" s="24" t="str">
        <f>PROPER(TRIM(Raw_Data!K493))</f>
        <v>Delivered</v>
      </c>
      <c r="L479" s="24" t="str">
        <f t="shared" si="29"/>
        <v>Sep</v>
      </c>
      <c r="M479" s="24" t="str">
        <f t="shared" si="30"/>
        <v>Tue</v>
      </c>
      <c r="N479" s="24" t="str">
        <f t="shared" si="31"/>
        <v>Delivered</v>
      </c>
      <c r="O479" s="24" t="str">
        <f>IF(ROUND(G479-Raw_Data!G493,2)=0,"OK","Corrected")</f>
        <v>OK</v>
      </c>
    </row>
    <row r="480" spans="1:15" x14ac:dyDescent="0.3">
      <c r="A480" s="24" t="str">
        <f>TRIM(Raw_Data!A494)</f>
        <v>AMZ-10070</v>
      </c>
      <c r="B480" s="25">
        <f>Raw_Data!B494</f>
        <v>46294</v>
      </c>
      <c r="C480" s="24" t="str">
        <f>PROPER(TRIM(Raw_Data!C494))</f>
        <v>Running Shoes</v>
      </c>
      <c r="D480" s="24" t="str">
        <f>TRIM(Raw_Data!D494)</f>
        <v>Footwear</v>
      </c>
      <c r="E480" s="26">
        <f>Raw_Data!E494</f>
        <v>3299</v>
      </c>
      <c r="F480" s="24">
        <f>Raw_Data!F494</f>
        <v>2</v>
      </c>
      <c r="G480" s="26">
        <f t="shared" si="28"/>
        <v>6598</v>
      </c>
      <c r="H480" s="24" t="str">
        <f>PROPER(TRIM(Raw_Data!H494))</f>
        <v>Vikram Nair</v>
      </c>
      <c r="I480" s="24" t="str">
        <f>PROPER(TRIM(Raw_Data!I494))</f>
        <v>Mumbai</v>
      </c>
      <c r="J480" s="24" t="str">
        <f>TRIM(Raw_Data!J494)</f>
        <v>Net Banking</v>
      </c>
      <c r="K480" s="24" t="str">
        <f>PROPER(TRIM(Raw_Data!K494))</f>
        <v>Delivered</v>
      </c>
      <c r="L480" s="24" t="str">
        <f t="shared" si="29"/>
        <v>Sep</v>
      </c>
      <c r="M480" s="24" t="str">
        <f t="shared" si="30"/>
        <v>Tue</v>
      </c>
      <c r="N480" s="24" t="str">
        <f t="shared" si="31"/>
        <v>Delivered</v>
      </c>
      <c r="O480" s="24" t="str">
        <f>IF(ROUND(G480-Raw_Data!G494,2)=0,"OK","Corrected")</f>
        <v>OK</v>
      </c>
    </row>
    <row r="481" spans="1:15" x14ac:dyDescent="0.3">
      <c r="A481" s="24" t="str">
        <f>TRIM(Raw_Data!A495)</f>
        <v>AMZ-10071</v>
      </c>
      <c r="B481" s="25">
        <f>Raw_Data!B495</f>
        <v>46294</v>
      </c>
      <c r="C481" s="24" t="str">
        <f>PROPER(TRIM(Raw_Data!C495))</f>
        <v>Python Programming Book</v>
      </c>
      <c r="D481" s="24" t="str">
        <f>TRIM(Raw_Data!D495)</f>
        <v>Books</v>
      </c>
      <c r="E481" s="26">
        <f>Raw_Data!E495</f>
        <v>699</v>
      </c>
      <c r="F481" s="24">
        <f>Raw_Data!F495</f>
        <v>1</v>
      </c>
      <c r="G481" s="26">
        <f t="shared" si="28"/>
        <v>699</v>
      </c>
      <c r="H481" s="24" t="str">
        <f>PROPER(TRIM(Raw_Data!H495))</f>
        <v>Priya Khan</v>
      </c>
      <c r="I481" s="24" t="str">
        <f>PROPER(TRIM(Raw_Data!I495))</f>
        <v>Jaipur</v>
      </c>
      <c r="J481" s="24" t="str">
        <f>TRIM(Raw_Data!J495)</f>
        <v>UPI</v>
      </c>
      <c r="K481" s="24" t="str">
        <f>PROPER(TRIM(Raw_Data!K495))</f>
        <v>Delivered</v>
      </c>
      <c r="L481" s="24" t="str">
        <f t="shared" si="29"/>
        <v>Sep</v>
      </c>
      <c r="M481" s="24" t="str">
        <f t="shared" si="30"/>
        <v>Tue</v>
      </c>
      <c r="N481" s="24" t="str">
        <f t="shared" si="31"/>
        <v>Delivered</v>
      </c>
      <c r="O481" s="24" t="str">
        <f>IF(ROUND(G481-Raw_Data!G495,2)=0,"OK","Corrected")</f>
        <v>OK</v>
      </c>
    </row>
    <row r="482" spans="1:15" x14ac:dyDescent="0.3">
      <c r="A482" s="24" t="str">
        <f>TRIM(Raw_Data!A496)</f>
        <v>AMZ-10154</v>
      </c>
      <c r="B482" s="25">
        <f>Raw_Data!B496</f>
        <v>46294</v>
      </c>
      <c r="C482" s="24" t="str">
        <f>PROPER(TRIM(Raw_Data!C496))</f>
        <v>Cotton T-Shirt</v>
      </c>
      <c r="D482" s="24" t="str">
        <f>TRIM(Raw_Data!D496)</f>
        <v>Clothing</v>
      </c>
      <c r="E482" s="26">
        <f>Raw_Data!E496</f>
        <v>599</v>
      </c>
      <c r="F482" s="24">
        <f>Raw_Data!F496</f>
        <v>2</v>
      </c>
      <c r="G482" s="26">
        <f t="shared" si="28"/>
        <v>1198</v>
      </c>
      <c r="H482" s="24" t="str">
        <f>PROPER(TRIM(Raw_Data!H496))</f>
        <v>Vikram Joshi</v>
      </c>
      <c r="I482" s="24" t="str">
        <f>PROPER(TRIM(Raw_Data!I496))</f>
        <v>Hyderabad</v>
      </c>
      <c r="J482" s="24" t="str">
        <f>TRIM(Raw_Data!J496)</f>
        <v>Cash On Delivery</v>
      </c>
      <c r="K482" s="24" t="str">
        <f>PROPER(TRIM(Raw_Data!K496))</f>
        <v>Cancelled</v>
      </c>
      <c r="L482" s="24" t="str">
        <f t="shared" si="29"/>
        <v>Sep</v>
      </c>
      <c r="M482" s="24" t="str">
        <f t="shared" si="30"/>
        <v>Tue</v>
      </c>
      <c r="N482" s="24" t="str">
        <f t="shared" si="31"/>
        <v>Cancelled</v>
      </c>
      <c r="O482" s="24" t="str">
        <f>IF(ROUND(G482-Raw_Data!G496,2)=0,"OK","Corrected")</f>
        <v>OK</v>
      </c>
    </row>
    <row r="483" spans="1:15" x14ac:dyDescent="0.3">
      <c r="A483" s="24" t="str">
        <f>TRIM(Raw_Data!A497)</f>
        <v>AMZ-10277</v>
      </c>
      <c r="B483" s="25">
        <f>Raw_Data!B497</f>
        <v>46294</v>
      </c>
      <c r="C483" s="24" t="str">
        <f>PROPER(TRIM(Raw_Data!C497))</f>
        <v>Smart Watch</v>
      </c>
      <c r="D483" s="24" t="str">
        <f>TRIM(Raw_Data!D497)</f>
        <v>Electronics</v>
      </c>
      <c r="E483" s="26">
        <f>Raw_Data!E497</f>
        <v>4999</v>
      </c>
      <c r="F483" s="24">
        <f>Raw_Data!F497</f>
        <v>1</v>
      </c>
      <c r="G483" s="26">
        <f t="shared" si="28"/>
        <v>4999</v>
      </c>
      <c r="H483" s="24" t="str">
        <f>PROPER(TRIM(Raw_Data!H497))</f>
        <v>Arjun Joshi</v>
      </c>
      <c r="I483" s="24" t="str">
        <f>PROPER(TRIM(Raw_Data!I497))</f>
        <v>Bangalore</v>
      </c>
      <c r="J483" s="24" t="str">
        <f>TRIM(Raw_Data!J497)</f>
        <v>Debit Card</v>
      </c>
      <c r="K483" s="24" t="str">
        <f>PROPER(TRIM(Raw_Data!K497))</f>
        <v>Shipped</v>
      </c>
      <c r="L483" s="24" t="str">
        <f t="shared" si="29"/>
        <v>Sep</v>
      </c>
      <c r="M483" s="24" t="str">
        <f t="shared" si="30"/>
        <v>Tue</v>
      </c>
      <c r="N483" s="24" t="str">
        <f t="shared" si="31"/>
        <v>Pending</v>
      </c>
      <c r="O483" s="24" t="str">
        <f>IF(ROUND(G483-Raw_Data!G497,2)=0,"OK","Corrected")</f>
        <v>OK</v>
      </c>
    </row>
    <row r="484" spans="1:15" x14ac:dyDescent="0.3">
      <c r="A484" s="24" t="str">
        <f>TRIM(Raw_Data!A498)</f>
        <v>AMZ-10282</v>
      </c>
      <c r="B484" s="25">
        <f>Raw_Data!B498</f>
        <v>46294</v>
      </c>
      <c r="C484" s="24" t="str">
        <f>PROPER(TRIM(Raw_Data!C498))</f>
        <v>Self Help Book</v>
      </c>
      <c r="D484" s="24" t="str">
        <f>TRIM(Raw_Data!D498)</f>
        <v>Books</v>
      </c>
      <c r="E484" s="26">
        <f>Raw_Data!E498</f>
        <v>399</v>
      </c>
      <c r="F484" s="24">
        <f>Raw_Data!F498</f>
        <v>1</v>
      </c>
      <c r="G484" s="26">
        <f t="shared" si="28"/>
        <v>399</v>
      </c>
      <c r="H484" s="24" t="str">
        <f>PROPER(TRIM(Raw_Data!H498))</f>
        <v>Priya Patel</v>
      </c>
      <c r="I484" s="24" t="str">
        <f>PROPER(TRIM(Raw_Data!I498))</f>
        <v>Pune</v>
      </c>
      <c r="J484" s="24" t="str">
        <f>TRIM(Raw_Data!J498)</f>
        <v>UPI</v>
      </c>
      <c r="K484" s="24" t="str">
        <f>PROPER(TRIM(Raw_Data!K498))</f>
        <v>Delivered</v>
      </c>
      <c r="L484" s="24" t="str">
        <f t="shared" si="29"/>
        <v>Sep</v>
      </c>
      <c r="M484" s="24" t="str">
        <f t="shared" si="30"/>
        <v>Tue</v>
      </c>
      <c r="N484" s="24" t="str">
        <f t="shared" si="31"/>
        <v>Delivered</v>
      </c>
      <c r="O484" s="24" t="str">
        <f>IF(ROUND(G484-Raw_Data!G498,2)=0,"OK","Corrected")</f>
        <v>OK</v>
      </c>
    </row>
    <row r="485" spans="1:15" x14ac:dyDescent="0.3">
      <c r="A485" s="24" t="str">
        <f>TRIM(Raw_Data!A499)</f>
        <v>AMZ-10293</v>
      </c>
      <c r="B485" s="25">
        <f>Raw_Data!B499</f>
        <v>46294</v>
      </c>
      <c r="C485" s="24" t="str">
        <f>PROPER(TRIM(Raw_Data!C499))</f>
        <v>Casual Sneakers</v>
      </c>
      <c r="D485" s="24" t="str">
        <f>TRIM(Raw_Data!D499)</f>
        <v>Footwear</v>
      </c>
      <c r="E485" s="26">
        <f>Raw_Data!E499</f>
        <v>2199</v>
      </c>
      <c r="F485" s="24">
        <f>Raw_Data!F499</f>
        <v>2</v>
      </c>
      <c r="G485" s="26">
        <f t="shared" si="28"/>
        <v>4398</v>
      </c>
      <c r="H485" s="24" t="str">
        <f>PROPER(TRIM(Raw_Data!H499))</f>
        <v>Nikhil Reddy</v>
      </c>
      <c r="I485" s="24" t="str">
        <f>PROPER(TRIM(Raw_Data!I499))</f>
        <v>Chennai</v>
      </c>
      <c r="J485" s="24" t="str">
        <f>TRIM(Raw_Data!J499)</f>
        <v>Debit Card</v>
      </c>
      <c r="K485" s="24" t="str">
        <f>PROPER(TRIM(Raw_Data!K499))</f>
        <v>Delivered</v>
      </c>
      <c r="L485" s="24" t="str">
        <f t="shared" si="29"/>
        <v>Sep</v>
      </c>
      <c r="M485" s="24" t="str">
        <f t="shared" si="30"/>
        <v>Tue</v>
      </c>
      <c r="N485" s="24" t="str">
        <f t="shared" si="31"/>
        <v>Delivered</v>
      </c>
      <c r="O485" s="24" t="str">
        <f>IF(ROUND(G485-Raw_Data!G499,2)=0,"OK","Corrected")</f>
        <v>OK</v>
      </c>
    </row>
    <row r="486" spans="1:15" x14ac:dyDescent="0.3">
      <c r="A486" s="24" t="str">
        <f>TRIM(Raw_Data!A500)</f>
        <v>AMZ-10358</v>
      </c>
      <c r="B486" s="25">
        <f>Raw_Data!B500</f>
        <v>46294</v>
      </c>
      <c r="C486" s="24" t="str">
        <f>PROPER(TRIM(Raw_Data!C500))</f>
        <v>Python Programming Book</v>
      </c>
      <c r="D486" s="24" t="str">
        <f>TRIM(Raw_Data!D500)</f>
        <v>Books</v>
      </c>
      <c r="E486" s="26">
        <f>Raw_Data!E500</f>
        <v>699</v>
      </c>
      <c r="F486" s="24">
        <f>Raw_Data!F500</f>
        <v>4</v>
      </c>
      <c r="G486" s="26">
        <f t="shared" si="28"/>
        <v>2796</v>
      </c>
      <c r="H486" s="24" t="str">
        <f>PROPER(TRIM(Raw_Data!H500))</f>
        <v>Meera Singh</v>
      </c>
      <c r="I486" s="24" t="str">
        <f>PROPER(TRIM(Raw_Data!I500))</f>
        <v>Hyderabad</v>
      </c>
      <c r="J486" s="24" t="str">
        <f>TRIM(Raw_Data!J500)</f>
        <v>Credit Card</v>
      </c>
      <c r="K486" s="24" t="str">
        <f>PROPER(TRIM(Raw_Data!K500))</f>
        <v>Cancelled</v>
      </c>
      <c r="L486" s="24" t="str">
        <f t="shared" si="29"/>
        <v>Sep</v>
      </c>
      <c r="M486" s="24" t="str">
        <f t="shared" si="30"/>
        <v>Tue</v>
      </c>
      <c r="N486" s="24" t="str">
        <f t="shared" si="31"/>
        <v>Cancelled</v>
      </c>
      <c r="O486" s="24" t="str">
        <f>IF(ROUND(G486-Raw_Data!G500,2)=0,"OK","Corrected")</f>
        <v>OK</v>
      </c>
    </row>
    <row r="487" spans="1:15" x14ac:dyDescent="0.3">
      <c r="A487" s="24" t="str">
        <f>TRIM(Raw_Data!A501)</f>
        <v>AMZ-10416</v>
      </c>
      <c r="B487" s="25">
        <f>Raw_Data!B501</f>
        <v>46294</v>
      </c>
      <c r="C487" s="24" t="str">
        <f>PROPER(TRIM(Raw_Data!C501))</f>
        <v>Self Help Book</v>
      </c>
      <c r="D487" s="24" t="str">
        <f>TRIM(Raw_Data!D501)</f>
        <v>Books</v>
      </c>
      <c r="E487" s="26">
        <f>Raw_Data!E501</f>
        <v>399</v>
      </c>
      <c r="F487" s="24">
        <f>Raw_Data!F501</f>
        <v>2</v>
      </c>
      <c r="G487" s="26">
        <f t="shared" si="28"/>
        <v>798</v>
      </c>
      <c r="H487" s="24" t="str">
        <f>PROPER(TRIM(Raw_Data!H501))</f>
        <v>Priya Das</v>
      </c>
      <c r="I487" s="24" t="str">
        <f>PROPER(TRIM(Raw_Data!I501))</f>
        <v>Hyderabad</v>
      </c>
      <c r="J487" s="24" t="str">
        <f>TRIM(Raw_Data!J501)</f>
        <v>Net Banking</v>
      </c>
      <c r="K487" s="24" t="str">
        <f>PROPER(TRIM(Raw_Data!K501))</f>
        <v>Delivered</v>
      </c>
      <c r="L487" s="24" t="str">
        <f t="shared" si="29"/>
        <v>Sep</v>
      </c>
      <c r="M487" s="24" t="str">
        <f t="shared" si="30"/>
        <v>Tue</v>
      </c>
      <c r="N487" s="24" t="str">
        <f t="shared" si="31"/>
        <v>Delivered</v>
      </c>
      <c r="O487" s="24" t="str">
        <f>IF(ROUND(G487-Raw_Data!G501,2)=0,"OK","Corrected")</f>
        <v>OK</v>
      </c>
    </row>
    <row r="488" spans="1:15" x14ac:dyDescent="0.3">
      <c r="A488" s="24" t="str">
        <f>TRIM(Raw_Data!A502)</f>
        <v>AMZ-10024</v>
      </c>
      <c r="B488" s="25">
        <f>Raw_Data!B502</f>
        <v>46295</v>
      </c>
      <c r="C488" s="24" t="str">
        <f>PROPER(TRIM(Raw_Data!C502))</f>
        <v>Power Bank</v>
      </c>
      <c r="D488" s="24" t="str">
        <f>TRIM(Raw_Data!D502)</f>
        <v>Electronics</v>
      </c>
      <c r="E488" s="26">
        <f>Raw_Data!E502</f>
        <v>1299</v>
      </c>
      <c r="F488" s="24">
        <f>Raw_Data!F502</f>
        <v>1</v>
      </c>
      <c r="G488" s="26">
        <f t="shared" si="28"/>
        <v>1299</v>
      </c>
      <c r="H488" s="24" t="str">
        <f>PROPER(TRIM(Raw_Data!H502))</f>
        <v>Tanvi Gupta</v>
      </c>
      <c r="I488" s="24" t="str">
        <f>PROPER(TRIM(Raw_Data!I502))</f>
        <v>Hyderabad</v>
      </c>
      <c r="J488" s="24" t="str">
        <f>TRIM(Raw_Data!J502)</f>
        <v>UPI</v>
      </c>
      <c r="K488" s="24" t="str">
        <f>PROPER(TRIM(Raw_Data!K502))</f>
        <v>Delivered</v>
      </c>
      <c r="L488" s="24" t="str">
        <f t="shared" si="29"/>
        <v>Sep</v>
      </c>
      <c r="M488" s="24" t="str">
        <f t="shared" si="30"/>
        <v>Wed</v>
      </c>
      <c r="N488" s="24" t="str">
        <f t="shared" si="31"/>
        <v>Delivered</v>
      </c>
      <c r="O488" s="24" t="str">
        <f>IF(ROUND(G488-Raw_Data!G502,2)=0,"OK","Corrected")</f>
        <v>OK</v>
      </c>
    </row>
    <row r="489" spans="1:15" x14ac:dyDescent="0.3">
      <c r="A489" s="24" t="str">
        <f>TRIM(Raw_Data!A503)</f>
        <v>AMZ-10130</v>
      </c>
      <c r="B489" s="25">
        <f>Raw_Data!B503</f>
        <v>46295</v>
      </c>
      <c r="C489" s="24" t="str">
        <f>PROPER(TRIM(Raw_Data!C503))</f>
        <v>Casual Sneakers</v>
      </c>
      <c r="D489" s="24" t="str">
        <f>TRIM(Raw_Data!D503)</f>
        <v>Footwear</v>
      </c>
      <c r="E489" s="26">
        <f>Raw_Data!E503</f>
        <v>2199</v>
      </c>
      <c r="F489" s="24">
        <f>Raw_Data!F503</f>
        <v>1</v>
      </c>
      <c r="G489" s="26">
        <f t="shared" si="28"/>
        <v>2199</v>
      </c>
      <c r="H489" s="24" t="str">
        <f>PROPER(TRIM(Raw_Data!H503))</f>
        <v>Arjun Verma</v>
      </c>
      <c r="I489" s="24" t="str">
        <f>PROPER(TRIM(Raw_Data!I503))</f>
        <v>Pune</v>
      </c>
      <c r="J489" s="24" t="str">
        <f>TRIM(Raw_Data!J503)</f>
        <v>Credit Card</v>
      </c>
      <c r="K489" s="24" t="str">
        <f>PROPER(TRIM(Raw_Data!K503))</f>
        <v>Delivered</v>
      </c>
      <c r="L489" s="24" t="str">
        <f t="shared" si="29"/>
        <v>Sep</v>
      </c>
      <c r="M489" s="24" t="str">
        <f t="shared" si="30"/>
        <v>Wed</v>
      </c>
      <c r="N489" s="24" t="str">
        <f t="shared" si="31"/>
        <v>Delivered</v>
      </c>
      <c r="O489" s="24" t="str">
        <f>IF(ROUND(G489-Raw_Data!G503,2)=0,"OK","Corrected")</f>
        <v>OK</v>
      </c>
    </row>
    <row r="490" spans="1:15" x14ac:dyDescent="0.3">
      <c r="A490" s="24" t="str">
        <f>TRIM(Raw_Data!A505)</f>
        <v>AMZ-10166</v>
      </c>
      <c r="B490" s="25">
        <f>Raw_Data!B505</f>
        <v>46295</v>
      </c>
      <c r="C490" s="24" t="str">
        <f>PROPER(TRIM(Raw_Data!C505))</f>
        <v>Water Bottle</v>
      </c>
      <c r="D490" s="24" t="str">
        <f>TRIM(Raw_Data!D505)</f>
        <v>Home &amp; Kitchen</v>
      </c>
      <c r="E490" s="26">
        <f>Raw_Data!E505</f>
        <v>499</v>
      </c>
      <c r="F490" s="24">
        <f>Raw_Data!F505</f>
        <v>2</v>
      </c>
      <c r="G490" s="26">
        <f t="shared" si="28"/>
        <v>998</v>
      </c>
      <c r="H490" s="24" t="str">
        <f>PROPER(TRIM(Raw_Data!H505))</f>
        <v>Nikhil Patel</v>
      </c>
      <c r="I490" s="24" t="str">
        <f>PROPER(TRIM(Raw_Data!I505))</f>
        <v>Hyderabad</v>
      </c>
      <c r="J490" s="24" t="str">
        <f>TRIM(Raw_Data!J505)</f>
        <v>Debit Card</v>
      </c>
      <c r="K490" s="24" t="str">
        <f>PROPER(TRIM(Raw_Data!K505))</f>
        <v>Delivered</v>
      </c>
      <c r="L490" s="24" t="str">
        <f t="shared" si="29"/>
        <v>Sep</v>
      </c>
      <c r="M490" s="24" t="str">
        <f t="shared" si="30"/>
        <v>Wed</v>
      </c>
      <c r="N490" s="24" t="str">
        <f t="shared" si="31"/>
        <v>Delivered</v>
      </c>
      <c r="O490" s="24" t="str">
        <f>IF(ROUND(G490-Raw_Data!G505,2)=0,"OK","Corrected")</f>
        <v>OK</v>
      </c>
    </row>
    <row r="491" spans="1:15" x14ac:dyDescent="0.3">
      <c r="A491" s="24" t="str">
        <f>TRIM(Raw_Data!A506)</f>
        <v>AMZ-10183</v>
      </c>
      <c r="B491" s="25">
        <f>Raw_Data!B506</f>
        <v>46295</v>
      </c>
      <c r="C491" s="24" t="str">
        <f>PROPER(TRIM(Raw_Data!C506))</f>
        <v>Casual Sneakers</v>
      </c>
      <c r="D491" s="24" t="str">
        <f>TRIM(Raw_Data!D506)</f>
        <v>Footwear</v>
      </c>
      <c r="E491" s="26">
        <f>Raw_Data!E506</f>
        <v>2199</v>
      </c>
      <c r="F491" s="24">
        <f>Raw_Data!F506</f>
        <v>1</v>
      </c>
      <c r="G491" s="26">
        <f t="shared" si="28"/>
        <v>2199</v>
      </c>
      <c r="H491" s="24" t="str">
        <f>PROPER(TRIM(Raw_Data!H506))</f>
        <v>Sneha Singh</v>
      </c>
      <c r="I491" s="24" t="str">
        <f>PROPER(TRIM(Raw_Data!I506))</f>
        <v>Mumbai</v>
      </c>
      <c r="J491" s="24" t="str">
        <f>TRIM(Raw_Data!J506)</f>
        <v>Credit Card</v>
      </c>
      <c r="K491" s="24" t="str">
        <f>PROPER(TRIM(Raw_Data!K506))</f>
        <v>Pending</v>
      </c>
      <c r="L491" s="24" t="str">
        <f t="shared" si="29"/>
        <v>Sep</v>
      </c>
      <c r="M491" s="24" t="str">
        <f t="shared" si="30"/>
        <v>Wed</v>
      </c>
      <c r="N491" s="24" t="str">
        <f t="shared" si="31"/>
        <v>Pending</v>
      </c>
      <c r="O491" s="24" t="str">
        <f>IF(ROUND(G491-Raw_Data!G506,2)=0,"OK","Corrected")</f>
        <v>OK</v>
      </c>
    </row>
    <row r="492" spans="1:15" x14ac:dyDescent="0.3">
      <c r="A492" s="24" t="str">
        <f>TRIM(Raw_Data!A507)</f>
        <v>AMZ-10189</v>
      </c>
      <c r="B492" s="25">
        <f>Raw_Data!B507</f>
        <v>46295</v>
      </c>
      <c r="C492" s="24" t="str">
        <f>PROPER(TRIM(Raw_Data!C507))</f>
        <v>Power Bank</v>
      </c>
      <c r="D492" s="24" t="str">
        <f>TRIM(Raw_Data!D507)</f>
        <v>Electronics</v>
      </c>
      <c r="E492" s="26">
        <f>Raw_Data!E507</f>
        <v>1299</v>
      </c>
      <c r="F492" s="24">
        <f>Raw_Data!F507</f>
        <v>4</v>
      </c>
      <c r="G492" s="26">
        <f t="shared" si="28"/>
        <v>5196</v>
      </c>
      <c r="H492" s="24" t="str">
        <f>PROPER(TRIM(Raw_Data!H507))</f>
        <v>Sahil Sharma</v>
      </c>
      <c r="I492" s="24" t="str">
        <f>PROPER(TRIM(Raw_Data!I507))</f>
        <v>Ahmedabad</v>
      </c>
      <c r="J492" s="24" t="str">
        <f>TRIM(Raw_Data!J507)</f>
        <v>Credit Card</v>
      </c>
      <c r="K492" s="24" t="str">
        <f>PROPER(TRIM(Raw_Data!K507))</f>
        <v>Delivered</v>
      </c>
      <c r="L492" s="24" t="str">
        <f t="shared" si="29"/>
        <v>Sep</v>
      </c>
      <c r="M492" s="24" t="str">
        <f t="shared" si="30"/>
        <v>Wed</v>
      </c>
      <c r="N492" s="24" t="str">
        <f t="shared" si="31"/>
        <v>Delivered</v>
      </c>
      <c r="O492" s="24" t="str">
        <f>IF(ROUND(G492-Raw_Data!G507,2)=0,"OK","Corrected")</f>
        <v>OK</v>
      </c>
    </row>
    <row r="493" spans="1:15" x14ac:dyDescent="0.3">
      <c r="A493" s="24" t="str">
        <f>TRIM(Raw_Data!A508)</f>
        <v>AMZ-10276</v>
      </c>
      <c r="B493" s="25">
        <f>Raw_Data!B508</f>
        <v>46295</v>
      </c>
      <c r="C493" s="24" t="str">
        <f>PROPER(TRIM(Raw_Data!C508))</f>
        <v>Bluetooth Speaker</v>
      </c>
      <c r="D493" s="24" t="str">
        <f>TRIM(Raw_Data!D508)</f>
        <v>Electronics</v>
      </c>
      <c r="E493" s="26">
        <f>Raw_Data!E508</f>
        <v>1999</v>
      </c>
      <c r="F493" s="24">
        <f>Raw_Data!F508</f>
        <v>2</v>
      </c>
      <c r="G493" s="26">
        <f t="shared" si="28"/>
        <v>3998</v>
      </c>
      <c r="H493" s="24" t="str">
        <f>PROPER(TRIM(Raw_Data!H508))</f>
        <v>Sneha Reddy</v>
      </c>
      <c r="I493" s="24" t="str">
        <f>PROPER(TRIM(Raw_Data!I508))</f>
        <v>Pune</v>
      </c>
      <c r="J493" s="24" t="str">
        <f>TRIM(Raw_Data!J508)</f>
        <v>Net Banking</v>
      </c>
      <c r="K493" s="24" t="str">
        <f>PROPER(TRIM(Raw_Data!K508))</f>
        <v>Delivered</v>
      </c>
      <c r="L493" s="24" t="str">
        <f t="shared" si="29"/>
        <v>Sep</v>
      </c>
      <c r="M493" s="24" t="str">
        <f t="shared" si="30"/>
        <v>Wed</v>
      </c>
      <c r="N493" s="24" t="str">
        <f t="shared" si="31"/>
        <v>Delivered</v>
      </c>
      <c r="O493" s="24" t="str">
        <f>IF(ROUND(G493-Raw_Data!G508,2)=0,"OK","Corrected")</f>
        <v>OK</v>
      </c>
    </row>
    <row r="494" spans="1:15" x14ac:dyDescent="0.3">
      <c r="A494" s="24" t="str">
        <f>TRIM(Raw_Data!A509)</f>
        <v>AMZ-10287</v>
      </c>
      <c r="B494" s="25">
        <f>Raw_Data!B509</f>
        <v>46295</v>
      </c>
      <c r="C494" s="24" t="str">
        <f>PROPER(TRIM(Raw_Data!C509))</f>
        <v>Smart Watch</v>
      </c>
      <c r="D494" s="24" t="str">
        <f>TRIM(Raw_Data!D509)</f>
        <v>Electronics</v>
      </c>
      <c r="E494" s="26">
        <f>Raw_Data!E509</f>
        <v>4999</v>
      </c>
      <c r="F494" s="24">
        <f>Raw_Data!F509</f>
        <v>1</v>
      </c>
      <c r="G494" s="26">
        <f t="shared" si="28"/>
        <v>4999</v>
      </c>
      <c r="H494" s="24" t="str">
        <f>PROPER(TRIM(Raw_Data!H509))</f>
        <v>Kavya Rao</v>
      </c>
      <c r="I494" s="24" t="str">
        <f>PROPER(TRIM(Raw_Data!I509))</f>
        <v>Bangalore</v>
      </c>
      <c r="J494" s="24" t="str">
        <f>TRIM(Raw_Data!J509)</f>
        <v>Debit Card</v>
      </c>
      <c r="K494" s="24" t="str">
        <f>PROPER(TRIM(Raw_Data!K509))</f>
        <v>Delivered</v>
      </c>
      <c r="L494" s="24" t="str">
        <f t="shared" si="29"/>
        <v>Sep</v>
      </c>
      <c r="M494" s="24" t="str">
        <f t="shared" si="30"/>
        <v>Wed</v>
      </c>
      <c r="N494" s="24" t="str">
        <f t="shared" si="31"/>
        <v>Delivered</v>
      </c>
      <c r="O494" s="24" t="str">
        <f>IF(ROUND(G494-Raw_Data!G509,2)=0,"OK","Corrected")</f>
        <v>OK</v>
      </c>
    </row>
    <row r="495" spans="1:15" x14ac:dyDescent="0.3">
      <c r="A495" s="24" t="str">
        <f>TRIM(Raw_Data!A510)</f>
        <v>AMZ-10331</v>
      </c>
      <c r="B495" s="25">
        <f>Raw_Data!B510</f>
        <v>46295</v>
      </c>
      <c r="C495" s="24" t="str">
        <f>PROPER(TRIM(Raw_Data!C510))</f>
        <v>Self Help Book</v>
      </c>
      <c r="D495" s="24" t="str">
        <f>TRIM(Raw_Data!D510)</f>
        <v>Books</v>
      </c>
      <c r="E495" s="26">
        <f>Raw_Data!E510</f>
        <v>399</v>
      </c>
      <c r="F495" s="24">
        <f>Raw_Data!F510</f>
        <v>1</v>
      </c>
      <c r="G495" s="26">
        <f t="shared" si="28"/>
        <v>399</v>
      </c>
      <c r="H495" s="24" t="str">
        <f>PROPER(TRIM(Raw_Data!H510))</f>
        <v>Priya Das</v>
      </c>
      <c r="I495" s="24" t="str">
        <f>PROPER(TRIM(Raw_Data!I510))</f>
        <v>Hyderabad</v>
      </c>
      <c r="J495" s="24" t="str">
        <f>TRIM(Raw_Data!J510)</f>
        <v>UPI</v>
      </c>
      <c r="K495" s="24" t="str">
        <f>PROPER(TRIM(Raw_Data!K510))</f>
        <v>Delivered</v>
      </c>
      <c r="L495" s="24" t="str">
        <f t="shared" si="29"/>
        <v>Sep</v>
      </c>
      <c r="M495" s="24" t="str">
        <f t="shared" si="30"/>
        <v>Wed</v>
      </c>
      <c r="N495" s="24" t="str">
        <f t="shared" si="31"/>
        <v>Delivered</v>
      </c>
      <c r="O495" s="24" t="str">
        <f>IF(ROUND(G495-Raw_Data!G510,2)=0,"OK","Corrected")</f>
        <v>OK</v>
      </c>
    </row>
    <row r="496" spans="1:15" x14ac:dyDescent="0.3">
      <c r="A496" s="24" t="str">
        <f>TRIM(Raw_Data!A511)</f>
        <v>AMZ-10334</v>
      </c>
      <c r="B496" s="25">
        <f>Raw_Data!B511</f>
        <v>46295</v>
      </c>
      <c r="C496" s="24" t="str">
        <f>PROPER(TRIM(Raw_Data!C511))</f>
        <v>Python Programming Book</v>
      </c>
      <c r="D496" s="24" t="str">
        <f>TRIM(Raw_Data!D511)</f>
        <v>Books</v>
      </c>
      <c r="E496" s="26">
        <f>Raw_Data!E511</f>
        <v>699</v>
      </c>
      <c r="F496" s="24">
        <f>Raw_Data!F511</f>
        <v>3</v>
      </c>
      <c r="G496" s="26">
        <f t="shared" si="28"/>
        <v>2097</v>
      </c>
      <c r="H496" s="24" t="str">
        <f>PROPER(TRIM(Raw_Data!H511))</f>
        <v>Aditya Iyer</v>
      </c>
      <c r="I496" s="24" t="str">
        <f>PROPER(TRIM(Raw_Data!I511))</f>
        <v>Mumbai</v>
      </c>
      <c r="J496" s="24" t="str">
        <f>TRIM(Raw_Data!J511)</f>
        <v>Net Banking</v>
      </c>
      <c r="K496" s="24" t="str">
        <f>PROPER(TRIM(Raw_Data!K511))</f>
        <v>Delivered</v>
      </c>
      <c r="L496" s="24" t="str">
        <f t="shared" si="29"/>
        <v>Sep</v>
      </c>
      <c r="M496" s="24" t="str">
        <f t="shared" si="30"/>
        <v>Wed</v>
      </c>
      <c r="N496" s="24" t="str">
        <f t="shared" si="31"/>
        <v>Delivered</v>
      </c>
      <c r="O496" s="24" t="str">
        <f>IF(ROUND(G496-Raw_Data!G511,2)=0,"OK","Corrected")</f>
        <v>OK</v>
      </c>
    </row>
    <row r="497" spans="1:15" x14ac:dyDescent="0.3">
      <c r="A497" s="24" t="str">
        <f>TRIM(Raw_Data!A512)</f>
        <v>AMZ-10348</v>
      </c>
      <c r="B497" s="25">
        <f>Raw_Data!B512</f>
        <v>46295</v>
      </c>
      <c r="C497" s="24" t="str">
        <f>PROPER(TRIM(Raw_Data!C512))</f>
        <v>Mixer Grinder</v>
      </c>
      <c r="D497" s="24" t="str">
        <f>TRIM(Raw_Data!D512)</f>
        <v>Home &amp; Kitchen</v>
      </c>
      <c r="E497" s="26">
        <f>Raw_Data!E512</f>
        <v>3499</v>
      </c>
      <c r="F497" s="24">
        <f>Raw_Data!F512</f>
        <v>1</v>
      </c>
      <c r="G497" s="26">
        <f t="shared" si="28"/>
        <v>3499</v>
      </c>
      <c r="H497" s="24" t="str">
        <f>PROPER(TRIM(Raw_Data!H512))</f>
        <v>Priya Das</v>
      </c>
      <c r="I497" s="24" t="str">
        <f>PROPER(TRIM(Raw_Data!I512))</f>
        <v>Hyderabad</v>
      </c>
      <c r="J497" s="24" t="str">
        <f>TRIM(Raw_Data!J512)</f>
        <v>Credit Card</v>
      </c>
      <c r="K497" s="24" t="str">
        <f>PROPER(TRIM(Raw_Data!K512))</f>
        <v>Delivered</v>
      </c>
      <c r="L497" s="24" t="str">
        <f t="shared" si="29"/>
        <v>Sep</v>
      </c>
      <c r="M497" s="24" t="str">
        <f t="shared" si="30"/>
        <v>Wed</v>
      </c>
      <c r="N497" s="24" t="str">
        <f t="shared" si="31"/>
        <v>Delivered</v>
      </c>
      <c r="O497" s="24" t="str">
        <f>IF(ROUND(G497-Raw_Data!G512,2)=0,"OK","Corrected")</f>
        <v>OK</v>
      </c>
    </row>
    <row r="498" spans="1:15" x14ac:dyDescent="0.3">
      <c r="A498" s="24" t="str">
        <f>TRIM(Raw_Data!A513)</f>
        <v>AMZ-10356</v>
      </c>
      <c r="B498" s="25">
        <f>Raw_Data!B513</f>
        <v>46295</v>
      </c>
      <c r="C498" s="24" t="str">
        <f>PROPER(TRIM(Raw_Data!C513))</f>
        <v>Running Shoes</v>
      </c>
      <c r="D498" s="24" t="str">
        <f>TRIM(Raw_Data!D513)</f>
        <v>Footwear</v>
      </c>
      <c r="E498" s="26">
        <f>Raw_Data!E513</f>
        <v>3299</v>
      </c>
      <c r="F498" s="24">
        <f>Raw_Data!F513</f>
        <v>1</v>
      </c>
      <c r="G498" s="26">
        <f t="shared" si="28"/>
        <v>3299</v>
      </c>
      <c r="H498" s="24" t="str">
        <f>PROPER(TRIM(Raw_Data!H513))</f>
        <v>Aditya Kulkarni</v>
      </c>
      <c r="I498" s="24" t="str">
        <f>PROPER(TRIM(Raw_Data!I513))</f>
        <v>Bangalore</v>
      </c>
      <c r="J498" s="24" t="str">
        <f>TRIM(Raw_Data!J513)</f>
        <v>Cash On Delivery</v>
      </c>
      <c r="K498" s="24" t="str">
        <f>PROPER(TRIM(Raw_Data!K513))</f>
        <v>Shipped</v>
      </c>
      <c r="L498" s="24" t="str">
        <f t="shared" si="29"/>
        <v>Sep</v>
      </c>
      <c r="M498" s="24" t="str">
        <f t="shared" si="30"/>
        <v>Wed</v>
      </c>
      <c r="N498" s="24" t="str">
        <f t="shared" si="31"/>
        <v>Pending</v>
      </c>
      <c r="O498" s="24" t="str">
        <f>IF(ROUND(G498-Raw_Data!G513,2)=0,"OK","Corrected")</f>
        <v>OK</v>
      </c>
    </row>
    <row r="499" spans="1:15" x14ac:dyDescent="0.3">
      <c r="A499" s="24" t="str">
        <f>TRIM(Raw_Data!A514)</f>
        <v>AMZ-10375</v>
      </c>
      <c r="B499" s="25">
        <f>Raw_Data!B514</f>
        <v>46295</v>
      </c>
      <c r="C499" s="24" t="str">
        <f>PROPER(TRIM(Raw_Data!C514))</f>
        <v>Power Bank</v>
      </c>
      <c r="D499" s="24" t="str">
        <f>TRIM(Raw_Data!D514)</f>
        <v>Electronics</v>
      </c>
      <c r="E499" s="26">
        <f>Raw_Data!E514</f>
        <v>1299</v>
      </c>
      <c r="F499" s="24">
        <f>Raw_Data!F514</f>
        <v>1</v>
      </c>
      <c r="G499" s="26">
        <f t="shared" si="28"/>
        <v>1299</v>
      </c>
      <c r="H499" s="24" t="str">
        <f>PROPER(TRIM(Raw_Data!H514))</f>
        <v>Aditya Sharma</v>
      </c>
      <c r="I499" s="24" t="str">
        <f>PROPER(TRIM(Raw_Data!I514))</f>
        <v>Ahmedabad</v>
      </c>
      <c r="J499" s="24" t="str">
        <f>TRIM(Raw_Data!J514)</f>
        <v>Credit Card</v>
      </c>
      <c r="K499" s="24" t="str">
        <f>PROPER(TRIM(Raw_Data!K514))</f>
        <v>Delivered</v>
      </c>
      <c r="L499" s="24" t="str">
        <f t="shared" si="29"/>
        <v>Sep</v>
      </c>
      <c r="M499" s="24" t="str">
        <f t="shared" si="30"/>
        <v>Wed</v>
      </c>
      <c r="N499" s="24" t="str">
        <f t="shared" si="31"/>
        <v>Delivered</v>
      </c>
      <c r="O499" s="24" t="str">
        <f>IF(ROUND(G499-Raw_Data!G514,2)=0,"OK","Corrected")</f>
        <v>OK</v>
      </c>
    </row>
    <row r="500" spans="1:15" x14ac:dyDescent="0.3">
      <c r="A500" s="24" t="str">
        <f>TRIM(Raw_Data!A515)</f>
        <v>AMZ-10402</v>
      </c>
      <c r="B500" s="25">
        <f>Raw_Data!B515</f>
        <v>46295</v>
      </c>
      <c r="C500" s="24" t="str">
        <f>PROPER(TRIM(Raw_Data!C515))</f>
        <v>Power Bank</v>
      </c>
      <c r="D500" s="24" t="str">
        <f>TRIM(Raw_Data!D515)</f>
        <v>Electronics</v>
      </c>
      <c r="E500" s="26">
        <f>Raw_Data!E515</f>
        <v>1299</v>
      </c>
      <c r="F500" s="24">
        <f>Raw_Data!F515</f>
        <v>3</v>
      </c>
      <c r="G500" s="26">
        <f t="shared" si="28"/>
        <v>3897</v>
      </c>
      <c r="H500" s="24" t="str">
        <f>PROPER(TRIM(Raw_Data!H515))</f>
        <v>Sahil Sharma</v>
      </c>
      <c r="I500" s="24" t="str">
        <f>PROPER(TRIM(Raw_Data!I515))</f>
        <v>Ahmedabad</v>
      </c>
      <c r="J500" s="24" t="str">
        <f>TRIM(Raw_Data!J515)</f>
        <v>UPI</v>
      </c>
      <c r="K500" s="24" t="str">
        <f>PROPER(TRIM(Raw_Data!K515))</f>
        <v>Delivered</v>
      </c>
      <c r="L500" s="24" t="str">
        <f t="shared" si="29"/>
        <v>Sep</v>
      </c>
      <c r="M500" s="24" t="str">
        <f t="shared" si="30"/>
        <v>Wed</v>
      </c>
      <c r="N500" s="24" t="str">
        <f t="shared" si="31"/>
        <v>Delivered</v>
      </c>
      <c r="O500" s="24" t="str">
        <f>IF(ROUND(G500-Raw_Data!G515,2)=0,"OK","Corrected")</f>
        <v>OK</v>
      </c>
    </row>
    <row r="501" spans="1:15" x14ac:dyDescent="0.3">
      <c r="A501" s="24" t="str">
        <f>TRIM(Raw_Data!A516)</f>
        <v>AMZ-10476</v>
      </c>
      <c r="B501" s="25">
        <f>Raw_Data!B516</f>
        <v>46295</v>
      </c>
      <c r="C501" s="24" t="str">
        <f>PROPER(TRIM(Raw_Data!C516))</f>
        <v>Denim Jeans</v>
      </c>
      <c r="D501" s="24" t="str">
        <f>TRIM(Raw_Data!D516)</f>
        <v>Clothing</v>
      </c>
      <c r="E501" s="26">
        <f>Raw_Data!E516</f>
        <v>1799</v>
      </c>
      <c r="F501" s="24">
        <f>Raw_Data!F516</f>
        <v>1</v>
      </c>
      <c r="G501" s="26">
        <f t="shared" si="28"/>
        <v>1799</v>
      </c>
      <c r="H501" s="24" t="str">
        <f>PROPER(TRIM(Raw_Data!H516))</f>
        <v>Sneha Reddy</v>
      </c>
      <c r="I501" s="24" t="str">
        <f>PROPER(TRIM(Raw_Data!I516))</f>
        <v>Pune</v>
      </c>
      <c r="J501" s="24" t="str">
        <f>TRIM(Raw_Data!J516)</f>
        <v>UPI</v>
      </c>
      <c r="K501" s="24" t="str">
        <f>PROPER(TRIM(Raw_Data!K516))</f>
        <v>Delivered</v>
      </c>
      <c r="L501" s="24" t="str">
        <f t="shared" si="29"/>
        <v>Sep</v>
      </c>
      <c r="M501" s="24" t="str">
        <f t="shared" si="30"/>
        <v>Wed</v>
      </c>
      <c r="N501" s="24" t="str">
        <f t="shared" si="31"/>
        <v>Delivered</v>
      </c>
      <c r="O501" s="24" t="str">
        <f>IF(ROUND(G501-Raw_Data!G516,2)=0,"OK","Corrected")</f>
        <v>OK</v>
      </c>
    </row>
  </sheetData>
  <autoFilter ref="A1:O50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3" customWidth="1"/>
    <col min="3" max="3" width="26" customWidth="1"/>
    <col min="4" max="4" width="16" customWidth="1"/>
    <col min="5" max="6" width="10" customWidth="1"/>
    <col min="7" max="7" width="13" customWidth="1"/>
    <col min="8" max="8" width="20" customWidth="1"/>
    <col min="9" max="10" width="18" customWidth="1"/>
    <col min="11" max="11" width="12" customWidth="1"/>
  </cols>
  <sheetData>
    <row r="1" spans="1:11" ht="26.4" x14ac:dyDescent="0.3">
      <c r="A1" s="13" t="s">
        <v>132</v>
      </c>
      <c r="B1" s="13" t="s">
        <v>133</v>
      </c>
      <c r="C1" s="13" t="s">
        <v>134</v>
      </c>
      <c r="D1" s="13" t="s">
        <v>2</v>
      </c>
      <c r="E1" s="13" t="s">
        <v>135</v>
      </c>
      <c r="F1" s="13" t="s">
        <v>136</v>
      </c>
      <c r="G1" s="13" t="s">
        <v>7</v>
      </c>
      <c r="H1" s="13" t="s">
        <v>137</v>
      </c>
      <c r="I1" s="13" t="s">
        <v>4</v>
      </c>
      <c r="J1" s="13" t="s">
        <v>138</v>
      </c>
      <c r="K1" s="13" t="s">
        <v>5</v>
      </c>
    </row>
    <row r="2" spans="1:11" x14ac:dyDescent="0.3">
      <c r="A2" s="24" t="s">
        <v>142</v>
      </c>
      <c r="B2" s="25">
        <v>46266</v>
      </c>
      <c r="C2" s="24" t="s">
        <v>143</v>
      </c>
      <c r="D2" s="24" t="s">
        <v>29</v>
      </c>
      <c r="E2" s="26">
        <v>3499</v>
      </c>
      <c r="F2" s="24">
        <v>1</v>
      </c>
      <c r="G2" s="26">
        <v>3499</v>
      </c>
      <c r="H2" s="24" t="s">
        <v>125</v>
      </c>
      <c r="I2" s="24" t="s">
        <v>52</v>
      </c>
      <c r="J2" s="24" t="s">
        <v>61</v>
      </c>
      <c r="K2" s="24" t="s">
        <v>67</v>
      </c>
    </row>
    <row r="3" spans="1:11" x14ac:dyDescent="0.3">
      <c r="A3" s="24" t="s">
        <v>144</v>
      </c>
      <c r="B3" s="25">
        <v>46266</v>
      </c>
      <c r="C3" s="24" t="s">
        <v>145</v>
      </c>
      <c r="D3" s="24" t="s">
        <v>32</v>
      </c>
      <c r="E3" s="26">
        <v>399</v>
      </c>
      <c r="F3" s="24">
        <v>3</v>
      </c>
      <c r="G3" s="26">
        <v>1197</v>
      </c>
      <c r="H3" s="24" t="s">
        <v>124</v>
      </c>
      <c r="I3" s="24" t="s">
        <v>51</v>
      </c>
      <c r="J3" s="24" t="s">
        <v>62</v>
      </c>
      <c r="K3" s="24" t="s">
        <v>67</v>
      </c>
    </row>
    <row r="4" spans="1:11" x14ac:dyDescent="0.3">
      <c r="A4" s="24" t="s">
        <v>146</v>
      </c>
      <c r="B4" s="25">
        <v>46266</v>
      </c>
      <c r="C4" s="24" t="s">
        <v>44</v>
      </c>
      <c r="D4" s="24" t="s">
        <v>29</v>
      </c>
      <c r="E4" s="26">
        <v>499</v>
      </c>
      <c r="F4" s="24">
        <v>2</v>
      </c>
      <c r="G4" s="26">
        <v>998</v>
      </c>
      <c r="H4" s="24" t="s">
        <v>107</v>
      </c>
      <c r="I4" s="24" t="s">
        <v>52</v>
      </c>
      <c r="J4" s="24" t="s">
        <v>62</v>
      </c>
      <c r="K4" s="24" t="s">
        <v>67</v>
      </c>
    </row>
    <row r="5" spans="1:11" x14ac:dyDescent="0.3">
      <c r="A5" s="24" t="s">
        <v>147</v>
      </c>
      <c r="B5" s="25">
        <v>46266</v>
      </c>
      <c r="C5" s="24" t="s">
        <v>148</v>
      </c>
      <c r="D5" s="24" t="s">
        <v>32</v>
      </c>
      <c r="E5" s="26">
        <v>399</v>
      </c>
      <c r="F5" s="24">
        <v>3</v>
      </c>
      <c r="G5" s="26">
        <v>1197</v>
      </c>
      <c r="H5" s="24" t="s">
        <v>131</v>
      </c>
      <c r="I5" s="24" t="s">
        <v>50</v>
      </c>
      <c r="J5" s="24" t="s">
        <v>63</v>
      </c>
      <c r="K5" s="24" t="s">
        <v>67</v>
      </c>
    </row>
    <row r="6" spans="1:11" x14ac:dyDescent="0.3">
      <c r="A6" s="24" t="s">
        <v>149</v>
      </c>
      <c r="B6" s="25">
        <v>46266</v>
      </c>
      <c r="C6" s="24" t="s">
        <v>46</v>
      </c>
      <c r="D6" s="24" t="s">
        <v>31</v>
      </c>
      <c r="E6" s="26">
        <v>599</v>
      </c>
      <c r="F6" s="24">
        <v>1</v>
      </c>
      <c r="G6" s="26">
        <v>599</v>
      </c>
      <c r="H6" s="24" t="s">
        <v>106</v>
      </c>
      <c r="I6" s="24" t="s">
        <v>150</v>
      </c>
      <c r="J6" s="24" t="s">
        <v>62</v>
      </c>
      <c r="K6" s="24" t="s">
        <v>67</v>
      </c>
    </row>
    <row r="7" spans="1:11" x14ac:dyDescent="0.3">
      <c r="A7" s="24" t="s">
        <v>151</v>
      </c>
      <c r="B7" s="25">
        <v>46266</v>
      </c>
      <c r="C7" s="24" t="s">
        <v>45</v>
      </c>
      <c r="D7" s="24" t="s">
        <v>30</v>
      </c>
      <c r="E7" s="26">
        <v>899</v>
      </c>
      <c r="F7" s="24">
        <v>4</v>
      </c>
      <c r="G7" s="26">
        <v>3596</v>
      </c>
      <c r="H7" s="24" t="s">
        <v>107</v>
      </c>
      <c r="I7" s="24" t="s">
        <v>152</v>
      </c>
      <c r="J7" s="24" t="s">
        <v>63</v>
      </c>
      <c r="K7" s="24" t="s">
        <v>67</v>
      </c>
    </row>
    <row r="8" spans="1:11" x14ac:dyDescent="0.3">
      <c r="A8" s="24" t="s">
        <v>151</v>
      </c>
      <c r="B8" s="25">
        <v>46266</v>
      </c>
      <c r="C8" s="24" t="s">
        <v>45</v>
      </c>
      <c r="D8" s="24" t="s">
        <v>30</v>
      </c>
      <c r="E8" s="26">
        <v>899</v>
      </c>
      <c r="F8" s="24">
        <v>4</v>
      </c>
      <c r="G8" s="26">
        <v>3596</v>
      </c>
      <c r="H8" s="24" t="s">
        <v>107</v>
      </c>
      <c r="I8" s="24" t="s">
        <v>152</v>
      </c>
      <c r="J8" s="24" t="s">
        <v>63</v>
      </c>
      <c r="K8" s="24" t="s">
        <v>67</v>
      </c>
    </row>
    <row r="9" spans="1:11" x14ac:dyDescent="0.3">
      <c r="A9" s="24" t="s">
        <v>153</v>
      </c>
      <c r="B9" s="25">
        <v>46266</v>
      </c>
      <c r="C9" s="24" t="s">
        <v>45</v>
      </c>
      <c r="D9" s="24" t="s">
        <v>30</v>
      </c>
      <c r="E9" s="26">
        <v>899</v>
      </c>
      <c r="F9" s="24">
        <v>3</v>
      </c>
      <c r="G9" s="26">
        <v>2697</v>
      </c>
      <c r="H9" s="24" t="s">
        <v>103</v>
      </c>
      <c r="I9" s="24" t="s">
        <v>58</v>
      </c>
      <c r="J9" s="24" t="s">
        <v>61</v>
      </c>
      <c r="K9" s="24" t="s">
        <v>67</v>
      </c>
    </row>
    <row r="10" spans="1:11" x14ac:dyDescent="0.3">
      <c r="A10" s="24" t="s">
        <v>153</v>
      </c>
      <c r="B10" s="25">
        <v>46266</v>
      </c>
      <c r="C10" s="24" t="s">
        <v>45</v>
      </c>
      <c r="D10" s="24" t="s">
        <v>30</v>
      </c>
      <c r="E10" s="26">
        <v>899</v>
      </c>
      <c r="F10" s="24">
        <v>3</v>
      </c>
      <c r="G10" s="26">
        <v>2697</v>
      </c>
      <c r="H10" s="24" t="s">
        <v>103</v>
      </c>
      <c r="I10" s="24" t="s">
        <v>58</v>
      </c>
      <c r="J10" s="24" t="s">
        <v>61</v>
      </c>
      <c r="K10" s="24" t="s">
        <v>67</v>
      </c>
    </row>
    <row r="11" spans="1:11" x14ac:dyDescent="0.3">
      <c r="A11" s="24" t="s">
        <v>154</v>
      </c>
      <c r="B11" s="25">
        <v>46266</v>
      </c>
      <c r="C11" s="24" t="s">
        <v>44</v>
      </c>
      <c r="D11" s="24" t="s">
        <v>29</v>
      </c>
      <c r="E11" s="26">
        <v>499</v>
      </c>
      <c r="F11" s="24">
        <v>3</v>
      </c>
      <c r="G11" s="26">
        <v>1497</v>
      </c>
      <c r="H11" s="24" t="s">
        <v>155</v>
      </c>
      <c r="I11" s="24" t="s">
        <v>57</v>
      </c>
      <c r="J11" s="24" t="s">
        <v>61</v>
      </c>
      <c r="K11" s="24" t="s">
        <v>67</v>
      </c>
    </row>
    <row r="12" spans="1:11" x14ac:dyDescent="0.3">
      <c r="A12" s="24" t="s">
        <v>156</v>
      </c>
      <c r="B12" s="25">
        <v>46266</v>
      </c>
      <c r="C12" s="24" t="s">
        <v>157</v>
      </c>
      <c r="D12" s="24" t="s">
        <v>29</v>
      </c>
      <c r="E12" s="26">
        <v>5999</v>
      </c>
      <c r="F12" s="24">
        <v>1</v>
      </c>
      <c r="G12" s="26">
        <v>5999</v>
      </c>
      <c r="H12" s="24" t="s">
        <v>78</v>
      </c>
      <c r="I12" s="24" t="s">
        <v>53</v>
      </c>
      <c r="J12" s="24" t="s">
        <v>61</v>
      </c>
      <c r="K12" s="24" t="s">
        <v>67</v>
      </c>
    </row>
    <row r="13" spans="1:11" x14ac:dyDescent="0.3">
      <c r="A13" s="24" t="s">
        <v>158</v>
      </c>
      <c r="B13" s="25">
        <v>46266</v>
      </c>
      <c r="C13" s="24" t="s">
        <v>44</v>
      </c>
      <c r="D13" s="24" t="s">
        <v>29</v>
      </c>
      <c r="E13" s="26">
        <v>499</v>
      </c>
      <c r="F13" s="24">
        <v>1</v>
      </c>
      <c r="G13" s="26">
        <v>499</v>
      </c>
      <c r="H13" s="24" t="s">
        <v>108</v>
      </c>
      <c r="I13" s="24" t="s">
        <v>53</v>
      </c>
      <c r="J13" s="24" t="s">
        <v>62</v>
      </c>
      <c r="K13" s="24" t="s">
        <v>67</v>
      </c>
    </row>
    <row r="14" spans="1:11" x14ac:dyDescent="0.3">
      <c r="A14" s="24" t="s">
        <v>159</v>
      </c>
      <c r="B14" s="25">
        <v>46267</v>
      </c>
      <c r="C14" s="24" t="s">
        <v>46</v>
      </c>
      <c r="D14" s="24" t="s">
        <v>31</v>
      </c>
      <c r="E14" s="26">
        <v>599</v>
      </c>
      <c r="F14" s="24">
        <v>2</v>
      </c>
      <c r="G14" s="26">
        <v>1198</v>
      </c>
      <c r="H14" s="24" t="s">
        <v>76</v>
      </c>
      <c r="I14" s="24" t="s">
        <v>53</v>
      </c>
      <c r="J14" s="24" t="s">
        <v>61</v>
      </c>
      <c r="K14" s="24" t="s">
        <v>67</v>
      </c>
    </row>
    <row r="15" spans="1:11" x14ac:dyDescent="0.3">
      <c r="A15" s="24" t="s">
        <v>160</v>
      </c>
      <c r="B15" s="25">
        <v>46267</v>
      </c>
      <c r="C15" s="24" t="s">
        <v>46</v>
      </c>
      <c r="D15" s="24" t="s">
        <v>31</v>
      </c>
      <c r="E15" s="26">
        <v>599</v>
      </c>
      <c r="F15" s="24">
        <v>1</v>
      </c>
      <c r="G15" s="26">
        <v>599</v>
      </c>
      <c r="H15" s="24" t="s">
        <v>122</v>
      </c>
      <c r="I15" s="24" t="s">
        <v>51</v>
      </c>
      <c r="J15" s="24" t="s">
        <v>61</v>
      </c>
      <c r="K15" s="24" t="s">
        <v>67</v>
      </c>
    </row>
    <row r="16" spans="1:11" x14ac:dyDescent="0.3">
      <c r="A16" s="24" t="s">
        <v>161</v>
      </c>
      <c r="B16" s="25">
        <v>46267</v>
      </c>
      <c r="C16" s="24" t="s">
        <v>39</v>
      </c>
      <c r="D16" s="24" t="s">
        <v>29</v>
      </c>
      <c r="E16" s="26">
        <v>5999</v>
      </c>
      <c r="F16" s="24">
        <v>1</v>
      </c>
      <c r="G16" s="26">
        <v>5999</v>
      </c>
      <c r="H16" s="24" t="s">
        <v>73</v>
      </c>
      <c r="I16" s="24" t="s">
        <v>54</v>
      </c>
      <c r="J16" s="24" t="s">
        <v>65</v>
      </c>
      <c r="K16" s="24" t="s">
        <v>69</v>
      </c>
    </row>
    <row r="17" spans="1:11" x14ac:dyDescent="0.3">
      <c r="A17" s="24" t="s">
        <v>162</v>
      </c>
      <c r="B17" s="25">
        <v>46267</v>
      </c>
      <c r="C17" s="24" t="s">
        <v>37</v>
      </c>
      <c r="D17" s="24" t="s">
        <v>29</v>
      </c>
      <c r="E17" s="26">
        <v>3499</v>
      </c>
      <c r="F17" s="24">
        <v>1</v>
      </c>
      <c r="G17" s="26">
        <v>3499</v>
      </c>
      <c r="H17" s="24" t="s">
        <v>91</v>
      </c>
      <c r="I17" s="24" t="s">
        <v>52</v>
      </c>
      <c r="J17" s="24" t="s">
        <v>61</v>
      </c>
      <c r="K17" s="24" t="s">
        <v>163</v>
      </c>
    </row>
    <row r="18" spans="1:11" x14ac:dyDescent="0.3">
      <c r="A18" s="24" t="s">
        <v>164</v>
      </c>
      <c r="B18" s="25">
        <v>46267</v>
      </c>
      <c r="C18" s="24" t="s">
        <v>48</v>
      </c>
      <c r="D18" s="24" t="s">
        <v>32</v>
      </c>
      <c r="E18" s="26">
        <v>399</v>
      </c>
      <c r="F18" s="24">
        <v>1</v>
      </c>
      <c r="G18" s="26">
        <v>399</v>
      </c>
      <c r="H18" s="24" t="s">
        <v>100</v>
      </c>
      <c r="I18" s="24" t="s">
        <v>54</v>
      </c>
      <c r="J18" s="24" t="s">
        <v>63</v>
      </c>
      <c r="K18" s="24" t="s">
        <v>67</v>
      </c>
    </row>
    <row r="19" spans="1:11" x14ac:dyDescent="0.3">
      <c r="A19" s="24" t="s">
        <v>165</v>
      </c>
      <c r="B19" s="25">
        <v>46267</v>
      </c>
      <c r="C19" s="24" t="s">
        <v>38</v>
      </c>
      <c r="D19" s="24" t="s">
        <v>28</v>
      </c>
      <c r="E19" s="26">
        <v>2499</v>
      </c>
      <c r="F19" s="24">
        <v>2</v>
      </c>
      <c r="G19" s="26">
        <v>4998</v>
      </c>
      <c r="H19" s="24" t="s">
        <v>166</v>
      </c>
      <c r="I19" s="24" t="s">
        <v>52</v>
      </c>
      <c r="J19" s="24" t="s">
        <v>61</v>
      </c>
      <c r="K19" s="24" t="s">
        <v>67</v>
      </c>
    </row>
    <row r="20" spans="1:11" x14ac:dyDescent="0.3">
      <c r="A20" s="24" t="s">
        <v>167</v>
      </c>
      <c r="B20" s="25">
        <v>46267</v>
      </c>
      <c r="C20" s="24" t="s">
        <v>41</v>
      </c>
      <c r="D20" s="24" t="s">
        <v>31</v>
      </c>
      <c r="E20" s="26">
        <v>1799</v>
      </c>
      <c r="F20" s="24">
        <v>1</v>
      </c>
      <c r="G20" s="26">
        <v>1799</v>
      </c>
      <c r="H20" s="24" t="s">
        <v>122</v>
      </c>
      <c r="I20" s="24" t="s">
        <v>51</v>
      </c>
      <c r="J20" s="24" t="s">
        <v>61</v>
      </c>
      <c r="K20" s="24" t="s">
        <v>67</v>
      </c>
    </row>
    <row r="21" spans="1:11" x14ac:dyDescent="0.3">
      <c r="A21" s="24" t="s">
        <v>168</v>
      </c>
      <c r="B21" s="25">
        <v>46267</v>
      </c>
      <c r="C21" s="24" t="s">
        <v>36</v>
      </c>
      <c r="D21" s="24" t="s">
        <v>30</v>
      </c>
      <c r="E21" s="26">
        <v>3299</v>
      </c>
      <c r="F21" s="24">
        <v>1</v>
      </c>
      <c r="G21" s="26">
        <v>3299</v>
      </c>
      <c r="H21" s="24" t="s">
        <v>108</v>
      </c>
      <c r="I21" s="24" t="s">
        <v>169</v>
      </c>
      <c r="J21" s="24" t="s">
        <v>62</v>
      </c>
      <c r="K21" s="24" t="s">
        <v>67</v>
      </c>
    </row>
    <row r="22" spans="1:11" x14ac:dyDescent="0.3">
      <c r="A22" s="24" t="s">
        <v>170</v>
      </c>
      <c r="B22" s="25">
        <v>46267</v>
      </c>
      <c r="C22" s="24" t="s">
        <v>37</v>
      </c>
      <c r="D22" s="24" t="s">
        <v>29</v>
      </c>
      <c r="E22" s="26">
        <v>3499</v>
      </c>
      <c r="F22" s="24">
        <v>2</v>
      </c>
      <c r="G22" s="26">
        <v>6998</v>
      </c>
      <c r="H22" s="24" t="s">
        <v>108</v>
      </c>
      <c r="I22" s="24" t="s">
        <v>53</v>
      </c>
      <c r="J22" s="24" t="s">
        <v>64</v>
      </c>
      <c r="K22" s="24" t="s">
        <v>67</v>
      </c>
    </row>
    <row r="23" spans="1:11" x14ac:dyDescent="0.3">
      <c r="A23" s="24" t="s">
        <v>171</v>
      </c>
      <c r="B23" s="25">
        <v>46267</v>
      </c>
      <c r="C23" s="24" t="s">
        <v>45</v>
      </c>
      <c r="D23" s="24" t="s">
        <v>30</v>
      </c>
      <c r="E23" s="26">
        <v>899</v>
      </c>
      <c r="F23" s="24">
        <v>2</v>
      </c>
      <c r="G23" s="26">
        <v>1798</v>
      </c>
      <c r="H23" s="24" t="s">
        <v>118</v>
      </c>
      <c r="I23" s="24" t="s">
        <v>51</v>
      </c>
      <c r="J23" s="24" t="s">
        <v>62</v>
      </c>
      <c r="K23" s="24" t="s">
        <v>67</v>
      </c>
    </row>
    <row r="24" spans="1:11" x14ac:dyDescent="0.3">
      <c r="A24" s="24" t="s">
        <v>172</v>
      </c>
      <c r="B24" s="25">
        <v>46267</v>
      </c>
      <c r="C24" s="24" t="s">
        <v>44</v>
      </c>
      <c r="D24" s="24" t="s">
        <v>29</v>
      </c>
      <c r="E24" s="26">
        <v>499</v>
      </c>
      <c r="F24" s="24">
        <v>1</v>
      </c>
      <c r="G24" s="26">
        <v>499</v>
      </c>
      <c r="H24" s="24" t="s">
        <v>87</v>
      </c>
      <c r="I24" s="24" t="s">
        <v>173</v>
      </c>
      <c r="J24" s="24" t="s">
        <v>62</v>
      </c>
      <c r="K24" s="24" t="s">
        <v>67</v>
      </c>
    </row>
    <row r="25" spans="1:11" x14ac:dyDescent="0.3">
      <c r="A25" s="24" t="s">
        <v>174</v>
      </c>
      <c r="B25" s="25">
        <v>46267</v>
      </c>
      <c r="C25" s="24" t="s">
        <v>175</v>
      </c>
      <c r="D25" s="24" t="s">
        <v>28</v>
      </c>
      <c r="E25" s="26">
        <v>2499</v>
      </c>
      <c r="F25" s="24">
        <v>1</v>
      </c>
      <c r="G25" s="26">
        <v>2499</v>
      </c>
      <c r="H25" s="24" t="s">
        <v>123</v>
      </c>
      <c r="I25" s="24" t="s">
        <v>55</v>
      </c>
      <c r="J25" s="24" t="s">
        <v>63</v>
      </c>
      <c r="K25" s="24" t="s">
        <v>67</v>
      </c>
    </row>
    <row r="26" spans="1:11" x14ac:dyDescent="0.3">
      <c r="A26" s="24" t="s">
        <v>176</v>
      </c>
      <c r="B26" s="25">
        <v>46267</v>
      </c>
      <c r="C26" s="24" t="s">
        <v>44</v>
      </c>
      <c r="D26" s="24" t="s">
        <v>29</v>
      </c>
      <c r="E26" s="26">
        <v>499</v>
      </c>
      <c r="F26" s="24">
        <v>3</v>
      </c>
      <c r="G26" s="26">
        <v>1497</v>
      </c>
      <c r="H26" s="24" t="s">
        <v>120</v>
      </c>
      <c r="I26" s="24" t="s">
        <v>52</v>
      </c>
      <c r="J26" s="24" t="s">
        <v>61</v>
      </c>
      <c r="K26" s="24" t="s">
        <v>67</v>
      </c>
    </row>
    <row r="27" spans="1:11" x14ac:dyDescent="0.3">
      <c r="A27" s="24" t="s">
        <v>177</v>
      </c>
      <c r="B27" s="25">
        <v>46267</v>
      </c>
      <c r="C27" s="24" t="s">
        <v>42</v>
      </c>
      <c r="D27" s="24" t="s">
        <v>28</v>
      </c>
      <c r="E27" s="26">
        <v>1999</v>
      </c>
      <c r="F27" s="24">
        <v>2</v>
      </c>
      <c r="G27" s="26">
        <v>3998</v>
      </c>
      <c r="H27" s="24" t="s">
        <v>111</v>
      </c>
      <c r="I27" s="24" t="s">
        <v>54</v>
      </c>
      <c r="J27" s="24" t="s">
        <v>64</v>
      </c>
      <c r="K27" s="24" t="s">
        <v>163</v>
      </c>
    </row>
    <row r="28" spans="1:11" x14ac:dyDescent="0.3">
      <c r="A28" s="24" t="s">
        <v>178</v>
      </c>
      <c r="B28" s="25">
        <v>46267</v>
      </c>
      <c r="C28" s="24" t="s">
        <v>38</v>
      </c>
      <c r="D28" s="24" t="s">
        <v>28</v>
      </c>
      <c r="E28" s="26">
        <v>2499</v>
      </c>
      <c r="F28" s="24">
        <v>2</v>
      </c>
      <c r="G28" s="26">
        <v>4998</v>
      </c>
      <c r="H28" s="24" t="s">
        <v>90</v>
      </c>
      <c r="I28" s="24" t="s">
        <v>52</v>
      </c>
      <c r="J28" s="24" t="s">
        <v>61</v>
      </c>
      <c r="K28" s="24" t="s">
        <v>67</v>
      </c>
    </row>
    <row r="29" spans="1:11" x14ac:dyDescent="0.3">
      <c r="A29" s="24" t="s">
        <v>179</v>
      </c>
      <c r="B29" s="25">
        <v>46267</v>
      </c>
      <c r="C29" s="24" t="s">
        <v>48</v>
      </c>
      <c r="D29" s="24" t="s">
        <v>32</v>
      </c>
      <c r="E29" s="26">
        <v>399</v>
      </c>
      <c r="F29" s="24">
        <v>3</v>
      </c>
      <c r="G29" s="26">
        <v>1197</v>
      </c>
      <c r="H29" s="24" t="s">
        <v>120</v>
      </c>
      <c r="I29" s="24" t="s">
        <v>52</v>
      </c>
      <c r="J29" s="24" t="s">
        <v>61</v>
      </c>
      <c r="K29" s="24" t="s">
        <v>67</v>
      </c>
    </row>
    <row r="30" spans="1:11" x14ac:dyDescent="0.3">
      <c r="A30" s="24" t="s">
        <v>180</v>
      </c>
      <c r="B30" s="25">
        <v>46267</v>
      </c>
      <c r="C30" s="24" t="s">
        <v>181</v>
      </c>
      <c r="D30" s="24" t="s">
        <v>30</v>
      </c>
      <c r="E30" s="26">
        <v>3299</v>
      </c>
      <c r="F30" s="24">
        <v>3</v>
      </c>
      <c r="G30" s="26">
        <v>9897</v>
      </c>
      <c r="H30" s="24" t="s">
        <v>82</v>
      </c>
      <c r="I30" s="24" t="s">
        <v>50</v>
      </c>
      <c r="J30" s="24" t="s">
        <v>63</v>
      </c>
      <c r="K30" s="24" t="s">
        <v>67</v>
      </c>
    </row>
    <row r="31" spans="1:11" x14ac:dyDescent="0.3">
      <c r="A31" s="24" t="s">
        <v>182</v>
      </c>
      <c r="B31" s="25">
        <v>46268</v>
      </c>
      <c r="C31" s="24" t="s">
        <v>38</v>
      </c>
      <c r="D31" s="24" t="s">
        <v>28</v>
      </c>
      <c r="E31" s="26">
        <v>2499</v>
      </c>
      <c r="F31" s="24">
        <v>3</v>
      </c>
      <c r="G31" s="26">
        <v>7497</v>
      </c>
      <c r="H31" s="24" t="s">
        <v>183</v>
      </c>
      <c r="I31" s="24" t="s">
        <v>57</v>
      </c>
      <c r="J31" s="24" t="s">
        <v>62</v>
      </c>
      <c r="K31" s="24" t="s">
        <v>69</v>
      </c>
    </row>
    <row r="32" spans="1:11" x14ac:dyDescent="0.3">
      <c r="A32" s="24" t="s">
        <v>184</v>
      </c>
      <c r="B32" s="25">
        <v>46268</v>
      </c>
      <c r="C32" s="24" t="s">
        <v>44</v>
      </c>
      <c r="D32" s="24" t="s">
        <v>29</v>
      </c>
      <c r="E32" s="26">
        <v>499</v>
      </c>
      <c r="F32" s="24">
        <v>1</v>
      </c>
      <c r="G32" s="26">
        <v>499</v>
      </c>
      <c r="H32" s="24" t="s">
        <v>79</v>
      </c>
      <c r="I32" s="24" t="s">
        <v>50</v>
      </c>
      <c r="J32" s="24" t="s">
        <v>65</v>
      </c>
      <c r="K32" s="24" t="s">
        <v>67</v>
      </c>
    </row>
    <row r="33" spans="1:11" x14ac:dyDescent="0.3">
      <c r="A33" s="24" t="s">
        <v>185</v>
      </c>
      <c r="B33" s="25">
        <v>46268</v>
      </c>
      <c r="C33" s="24" t="s">
        <v>45</v>
      </c>
      <c r="D33" s="24" t="s">
        <v>30</v>
      </c>
      <c r="E33" s="26">
        <v>899</v>
      </c>
      <c r="F33" s="24">
        <v>2</v>
      </c>
      <c r="G33" s="26">
        <v>1798</v>
      </c>
      <c r="H33" s="24" t="s">
        <v>93</v>
      </c>
      <c r="I33" s="24" t="s">
        <v>55</v>
      </c>
      <c r="J33" s="24" t="s">
        <v>64</v>
      </c>
      <c r="K33" s="24" t="s">
        <v>67</v>
      </c>
    </row>
    <row r="34" spans="1:11" x14ac:dyDescent="0.3">
      <c r="A34" s="24" t="s">
        <v>186</v>
      </c>
      <c r="B34" s="25">
        <v>46268</v>
      </c>
      <c r="C34" s="24" t="s">
        <v>43</v>
      </c>
      <c r="D34" s="24" t="s">
        <v>28</v>
      </c>
      <c r="E34" s="26">
        <v>1299</v>
      </c>
      <c r="F34" s="24">
        <v>1</v>
      </c>
      <c r="G34" s="26">
        <v>1299</v>
      </c>
      <c r="H34" s="24" t="s">
        <v>106</v>
      </c>
      <c r="I34" s="24" t="s">
        <v>51</v>
      </c>
      <c r="J34" s="24" t="s">
        <v>61</v>
      </c>
      <c r="K34" s="24" t="s">
        <v>67</v>
      </c>
    </row>
    <row r="35" spans="1:11" x14ac:dyDescent="0.3">
      <c r="A35" s="24" t="s">
        <v>187</v>
      </c>
      <c r="B35" s="25">
        <v>46268</v>
      </c>
      <c r="C35" s="24" t="s">
        <v>188</v>
      </c>
      <c r="D35" s="24" t="s">
        <v>28</v>
      </c>
      <c r="E35" s="26">
        <v>1299</v>
      </c>
      <c r="F35" s="24">
        <v>1</v>
      </c>
      <c r="G35" s="26">
        <v>1299</v>
      </c>
      <c r="H35" s="24" t="s">
        <v>98</v>
      </c>
      <c r="I35" s="24" t="s">
        <v>51</v>
      </c>
      <c r="J35" s="24" t="s">
        <v>61</v>
      </c>
      <c r="K35" s="24" t="s">
        <v>69</v>
      </c>
    </row>
    <row r="36" spans="1:11" x14ac:dyDescent="0.3">
      <c r="A36" s="24" t="s">
        <v>189</v>
      </c>
      <c r="B36" s="25">
        <v>46268</v>
      </c>
      <c r="C36" s="24" t="s">
        <v>41</v>
      </c>
      <c r="D36" s="24" t="s">
        <v>31</v>
      </c>
      <c r="E36" s="26">
        <v>1799</v>
      </c>
      <c r="F36" s="24">
        <v>1</v>
      </c>
      <c r="G36" s="26">
        <v>1799</v>
      </c>
      <c r="H36" s="24" t="s">
        <v>100</v>
      </c>
      <c r="I36" s="24" t="s">
        <v>190</v>
      </c>
      <c r="J36" s="24" t="s">
        <v>63</v>
      </c>
      <c r="K36" s="24" t="s">
        <v>67</v>
      </c>
    </row>
    <row r="37" spans="1:11" x14ac:dyDescent="0.3">
      <c r="A37" s="24" t="s">
        <v>191</v>
      </c>
      <c r="B37" s="25">
        <v>46268</v>
      </c>
      <c r="C37" s="24" t="s">
        <v>175</v>
      </c>
      <c r="D37" s="24" t="s">
        <v>28</v>
      </c>
      <c r="E37" s="26">
        <v>2499</v>
      </c>
      <c r="F37" s="24">
        <v>1</v>
      </c>
      <c r="G37" s="26">
        <v>2499</v>
      </c>
      <c r="H37" s="24" t="s">
        <v>90</v>
      </c>
      <c r="I37" s="24" t="s">
        <v>52</v>
      </c>
      <c r="J37" s="24" t="s">
        <v>62</v>
      </c>
      <c r="K37" s="24" t="s">
        <v>163</v>
      </c>
    </row>
    <row r="38" spans="1:11" x14ac:dyDescent="0.3">
      <c r="A38" s="24" t="s">
        <v>192</v>
      </c>
      <c r="B38" s="25">
        <v>46268</v>
      </c>
      <c r="C38" s="24" t="s">
        <v>193</v>
      </c>
      <c r="D38" s="24" t="s">
        <v>31</v>
      </c>
      <c r="E38" s="26">
        <v>1799</v>
      </c>
      <c r="F38" s="24">
        <v>1</v>
      </c>
      <c r="G38" s="26">
        <v>1799</v>
      </c>
      <c r="H38" s="24" t="s">
        <v>194</v>
      </c>
      <c r="I38" s="24" t="s">
        <v>52</v>
      </c>
      <c r="J38" s="24" t="s">
        <v>63</v>
      </c>
      <c r="K38" s="24" t="s">
        <v>67</v>
      </c>
    </row>
    <row r="39" spans="1:11" x14ac:dyDescent="0.3">
      <c r="A39" s="24" t="s">
        <v>195</v>
      </c>
      <c r="B39" s="25">
        <v>46268</v>
      </c>
      <c r="C39" s="24" t="s">
        <v>38</v>
      </c>
      <c r="D39" s="24" t="s">
        <v>28</v>
      </c>
      <c r="E39" s="26">
        <v>2499</v>
      </c>
      <c r="F39" s="24">
        <v>4</v>
      </c>
      <c r="G39" s="26">
        <v>9996</v>
      </c>
      <c r="H39" s="24" t="s">
        <v>113</v>
      </c>
      <c r="I39" s="24" t="s">
        <v>53</v>
      </c>
      <c r="J39" s="24" t="s">
        <v>63</v>
      </c>
      <c r="K39" s="24" t="s">
        <v>67</v>
      </c>
    </row>
    <row r="40" spans="1:11" x14ac:dyDescent="0.3">
      <c r="A40" s="24" t="s">
        <v>196</v>
      </c>
      <c r="B40" s="25">
        <v>46268</v>
      </c>
      <c r="C40" s="24" t="s">
        <v>41</v>
      </c>
      <c r="D40" s="24" t="s">
        <v>31</v>
      </c>
      <c r="E40" s="26">
        <v>1799</v>
      </c>
      <c r="F40" s="24">
        <v>3</v>
      </c>
      <c r="G40" s="26">
        <v>5397</v>
      </c>
      <c r="H40" s="24" t="s">
        <v>126</v>
      </c>
      <c r="I40" s="24" t="s">
        <v>50</v>
      </c>
      <c r="J40" s="24" t="s">
        <v>61</v>
      </c>
      <c r="K40" s="24" t="s">
        <v>67</v>
      </c>
    </row>
    <row r="41" spans="1:11" x14ac:dyDescent="0.3">
      <c r="A41" s="24" t="s">
        <v>197</v>
      </c>
      <c r="B41" s="25">
        <v>46268</v>
      </c>
      <c r="C41" s="24" t="s">
        <v>43</v>
      </c>
      <c r="D41" s="24" t="s">
        <v>28</v>
      </c>
      <c r="E41" s="26">
        <v>1299</v>
      </c>
      <c r="F41" s="24">
        <v>1</v>
      </c>
      <c r="G41" s="26">
        <v>1299</v>
      </c>
      <c r="H41" s="24" t="s">
        <v>121</v>
      </c>
      <c r="I41" s="24" t="s">
        <v>55</v>
      </c>
      <c r="J41" s="24" t="s">
        <v>62</v>
      </c>
      <c r="K41" s="24" t="s">
        <v>67</v>
      </c>
    </row>
    <row r="42" spans="1:11" x14ac:dyDescent="0.3">
      <c r="A42" s="24" t="s">
        <v>198</v>
      </c>
      <c r="B42" s="25">
        <v>46268</v>
      </c>
      <c r="C42" s="24" t="s">
        <v>199</v>
      </c>
      <c r="D42" s="24" t="s">
        <v>32</v>
      </c>
      <c r="E42" s="26">
        <v>399</v>
      </c>
      <c r="F42" s="24">
        <v>1</v>
      </c>
      <c r="G42" s="26">
        <v>399</v>
      </c>
      <c r="H42" s="24" t="s">
        <v>97</v>
      </c>
      <c r="I42" s="24" t="s">
        <v>56</v>
      </c>
      <c r="J42" s="24" t="s">
        <v>61</v>
      </c>
      <c r="K42" s="24" t="s">
        <v>67</v>
      </c>
    </row>
    <row r="43" spans="1:11" x14ac:dyDescent="0.3">
      <c r="A43" s="24" t="s">
        <v>200</v>
      </c>
      <c r="B43" s="25">
        <v>46268</v>
      </c>
      <c r="C43" s="24" t="s">
        <v>42</v>
      </c>
      <c r="D43" s="24" t="s">
        <v>28</v>
      </c>
      <c r="E43" s="26">
        <v>1999</v>
      </c>
      <c r="F43" s="24">
        <v>1</v>
      </c>
      <c r="G43" s="26">
        <v>1999</v>
      </c>
      <c r="H43" s="24" t="s">
        <v>96</v>
      </c>
      <c r="I43" s="24" t="s">
        <v>201</v>
      </c>
      <c r="J43" s="24" t="s">
        <v>64</v>
      </c>
      <c r="K43" s="24" t="s">
        <v>67</v>
      </c>
    </row>
    <row r="44" spans="1:11" x14ac:dyDescent="0.3">
      <c r="A44" s="24" t="s">
        <v>202</v>
      </c>
      <c r="B44" s="25">
        <v>46268</v>
      </c>
      <c r="C44" s="24" t="s">
        <v>203</v>
      </c>
      <c r="D44" s="24" t="s">
        <v>30</v>
      </c>
      <c r="E44" s="26">
        <v>2199</v>
      </c>
      <c r="F44" s="24">
        <v>1</v>
      </c>
      <c r="G44" s="26">
        <v>2199</v>
      </c>
      <c r="H44" s="24" t="s">
        <v>124</v>
      </c>
      <c r="I44" s="24" t="s">
        <v>51</v>
      </c>
      <c r="J44" s="24" t="s">
        <v>63</v>
      </c>
      <c r="K44" s="24" t="s">
        <v>163</v>
      </c>
    </row>
    <row r="45" spans="1:11" x14ac:dyDescent="0.3">
      <c r="A45" s="24" t="s">
        <v>204</v>
      </c>
      <c r="B45" s="25">
        <v>46268</v>
      </c>
      <c r="C45" s="24" t="s">
        <v>42</v>
      </c>
      <c r="D45" s="24" t="s">
        <v>28</v>
      </c>
      <c r="E45" s="26">
        <v>1999</v>
      </c>
      <c r="F45" s="24">
        <v>3</v>
      </c>
      <c r="G45" s="26">
        <v>5997</v>
      </c>
      <c r="H45" s="24" t="s">
        <v>89</v>
      </c>
      <c r="I45" s="24" t="s">
        <v>205</v>
      </c>
      <c r="J45" s="24" t="s">
        <v>62</v>
      </c>
      <c r="K45" s="24" t="s">
        <v>67</v>
      </c>
    </row>
    <row r="46" spans="1:11" x14ac:dyDescent="0.3">
      <c r="A46" s="24" t="s">
        <v>206</v>
      </c>
      <c r="B46" s="25">
        <v>46268</v>
      </c>
      <c r="C46" s="24" t="s">
        <v>44</v>
      </c>
      <c r="D46" s="24" t="s">
        <v>29</v>
      </c>
      <c r="E46" s="26">
        <v>499</v>
      </c>
      <c r="F46" s="24">
        <v>1</v>
      </c>
      <c r="G46" s="26">
        <v>499</v>
      </c>
      <c r="H46" s="24" t="s">
        <v>113</v>
      </c>
      <c r="I46" s="24" t="s">
        <v>53</v>
      </c>
      <c r="J46" s="24" t="s">
        <v>62</v>
      </c>
      <c r="K46" s="24" t="s">
        <v>67</v>
      </c>
    </row>
    <row r="47" spans="1:11" x14ac:dyDescent="0.3">
      <c r="A47" s="24" t="s">
        <v>207</v>
      </c>
      <c r="B47" s="25">
        <v>46268</v>
      </c>
      <c r="C47" s="24" t="s">
        <v>44</v>
      </c>
      <c r="D47" s="24" t="s">
        <v>29</v>
      </c>
      <c r="E47" s="26">
        <v>499</v>
      </c>
      <c r="F47" s="24">
        <v>1</v>
      </c>
      <c r="G47" s="26">
        <v>499</v>
      </c>
      <c r="H47" s="24" t="s">
        <v>208</v>
      </c>
      <c r="I47" s="24" t="s">
        <v>52</v>
      </c>
      <c r="J47" s="24" t="s">
        <v>63</v>
      </c>
      <c r="K47" s="24" t="s">
        <v>67</v>
      </c>
    </row>
    <row r="48" spans="1:11" x14ac:dyDescent="0.3">
      <c r="A48" s="24" t="s">
        <v>209</v>
      </c>
      <c r="B48" s="25">
        <v>46269</v>
      </c>
      <c r="C48" s="24" t="s">
        <v>36</v>
      </c>
      <c r="D48" s="24" t="s">
        <v>30</v>
      </c>
      <c r="E48" s="26">
        <v>3299</v>
      </c>
      <c r="F48" s="24">
        <v>3</v>
      </c>
      <c r="G48" s="26">
        <v>9897</v>
      </c>
      <c r="H48" s="24" t="s">
        <v>100</v>
      </c>
      <c r="I48" s="24" t="s">
        <v>54</v>
      </c>
      <c r="J48" s="24" t="s">
        <v>61</v>
      </c>
      <c r="K48" s="24" t="s">
        <v>67</v>
      </c>
    </row>
    <row r="49" spans="1:11" x14ac:dyDescent="0.3">
      <c r="A49" s="24" t="s">
        <v>210</v>
      </c>
      <c r="B49" s="25">
        <v>46269</v>
      </c>
      <c r="C49" s="24" t="s">
        <v>48</v>
      </c>
      <c r="D49" s="24" t="s">
        <v>32</v>
      </c>
      <c r="E49" s="26">
        <v>399</v>
      </c>
      <c r="F49" s="24">
        <v>1</v>
      </c>
      <c r="G49" s="26">
        <v>399</v>
      </c>
      <c r="H49" s="24" t="s">
        <v>211</v>
      </c>
      <c r="I49" s="24" t="s">
        <v>52</v>
      </c>
      <c r="J49" s="24" t="s">
        <v>65</v>
      </c>
      <c r="K49" s="24" t="s">
        <v>67</v>
      </c>
    </row>
    <row r="50" spans="1:11" x14ac:dyDescent="0.3">
      <c r="A50" s="24" t="s">
        <v>212</v>
      </c>
      <c r="B50" s="25">
        <v>46269</v>
      </c>
      <c r="C50" s="24" t="s">
        <v>36</v>
      </c>
      <c r="D50" s="24" t="s">
        <v>30</v>
      </c>
      <c r="E50" s="26">
        <v>3299</v>
      </c>
      <c r="F50" s="24">
        <v>2</v>
      </c>
      <c r="G50" s="26">
        <v>6598</v>
      </c>
      <c r="H50" s="24" t="s">
        <v>114</v>
      </c>
      <c r="I50" s="24" t="s">
        <v>52</v>
      </c>
      <c r="J50" s="24" t="s">
        <v>61</v>
      </c>
      <c r="K50" s="24" t="s">
        <v>67</v>
      </c>
    </row>
    <row r="51" spans="1:11" x14ac:dyDescent="0.3">
      <c r="A51" s="24" t="s">
        <v>213</v>
      </c>
      <c r="B51" s="25">
        <v>46269</v>
      </c>
      <c r="C51" s="24" t="s">
        <v>43</v>
      </c>
      <c r="D51" s="24" t="s">
        <v>28</v>
      </c>
      <c r="E51" s="26">
        <v>1299</v>
      </c>
      <c r="F51" s="24">
        <v>1</v>
      </c>
      <c r="G51" s="26">
        <v>1299</v>
      </c>
      <c r="H51" s="24" t="s">
        <v>214</v>
      </c>
      <c r="I51" s="24" t="s">
        <v>54</v>
      </c>
      <c r="J51" s="24" t="s">
        <v>63</v>
      </c>
      <c r="K51" s="24" t="s">
        <v>67</v>
      </c>
    </row>
    <row r="52" spans="1:11" x14ac:dyDescent="0.3">
      <c r="A52" s="24" t="s">
        <v>215</v>
      </c>
      <c r="B52" s="25">
        <v>46269</v>
      </c>
      <c r="C52" s="24" t="s">
        <v>46</v>
      </c>
      <c r="D52" s="24" t="s">
        <v>31</v>
      </c>
      <c r="E52" s="26">
        <v>599</v>
      </c>
      <c r="F52" s="24">
        <v>1</v>
      </c>
      <c r="G52" s="26">
        <v>599</v>
      </c>
      <c r="H52" s="24" t="s">
        <v>73</v>
      </c>
      <c r="I52" s="24" t="s">
        <v>54</v>
      </c>
      <c r="J52" s="24" t="s">
        <v>64</v>
      </c>
      <c r="K52" s="24" t="s">
        <v>67</v>
      </c>
    </row>
    <row r="53" spans="1:11" x14ac:dyDescent="0.3">
      <c r="A53" s="24" t="s">
        <v>216</v>
      </c>
      <c r="B53" s="25">
        <v>46269</v>
      </c>
      <c r="C53" s="24" t="s">
        <v>37</v>
      </c>
      <c r="D53" s="24" t="s">
        <v>29</v>
      </c>
      <c r="E53" s="26">
        <v>3499</v>
      </c>
      <c r="F53" s="24">
        <v>4</v>
      </c>
      <c r="G53" s="26">
        <v>13996</v>
      </c>
      <c r="H53" s="24" t="s">
        <v>74</v>
      </c>
      <c r="I53" s="24" t="s">
        <v>50</v>
      </c>
      <c r="J53" s="24" t="s">
        <v>63</v>
      </c>
      <c r="K53" s="24" t="s">
        <v>67</v>
      </c>
    </row>
    <row r="54" spans="1:11" x14ac:dyDescent="0.3">
      <c r="A54" s="24" t="s">
        <v>217</v>
      </c>
      <c r="B54" s="25">
        <v>46269</v>
      </c>
      <c r="C54" s="24" t="s">
        <v>48</v>
      </c>
      <c r="D54" s="24" t="s">
        <v>32</v>
      </c>
      <c r="E54" s="26">
        <v>399</v>
      </c>
      <c r="F54" s="24">
        <v>1</v>
      </c>
      <c r="G54" s="26">
        <v>399</v>
      </c>
      <c r="H54" s="24" t="s">
        <v>104</v>
      </c>
      <c r="I54" s="24" t="s">
        <v>51</v>
      </c>
      <c r="J54" s="24" t="s">
        <v>63</v>
      </c>
      <c r="K54" s="24" t="s">
        <v>67</v>
      </c>
    </row>
    <row r="55" spans="1:11" x14ac:dyDescent="0.3">
      <c r="A55" s="24" t="s">
        <v>218</v>
      </c>
      <c r="B55" s="25">
        <v>46269</v>
      </c>
      <c r="C55" s="24" t="s">
        <v>219</v>
      </c>
      <c r="D55" s="24" t="s">
        <v>32</v>
      </c>
      <c r="E55" s="26">
        <v>399</v>
      </c>
      <c r="F55" s="24">
        <v>1</v>
      </c>
      <c r="G55" s="26">
        <v>399</v>
      </c>
      <c r="H55" s="24" t="s">
        <v>91</v>
      </c>
      <c r="I55" s="24" t="s">
        <v>52</v>
      </c>
      <c r="J55" s="24" t="s">
        <v>63</v>
      </c>
      <c r="K55" s="24" t="s">
        <v>68</v>
      </c>
    </row>
    <row r="56" spans="1:11" x14ac:dyDescent="0.3">
      <c r="A56" s="24" t="s">
        <v>220</v>
      </c>
      <c r="B56" s="25">
        <v>46269</v>
      </c>
      <c r="C56" s="24" t="s">
        <v>37</v>
      </c>
      <c r="D56" s="24" t="s">
        <v>29</v>
      </c>
      <c r="E56" s="26">
        <v>3499</v>
      </c>
      <c r="F56" s="24">
        <v>2</v>
      </c>
      <c r="G56" s="26">
        <v>6998</v>
      </c>
      <c r="H56" s="24" t="s">
        <v>87</v>
      </c>
      <c r="I56" s="24" t="s">
        <v>56</v>
      </c>
      <c r="J56" s="24" t="s">
        <v>62</v>
      </c>
      <c r="K56" s="24" t="s">
        <v>67</v>
      </c>
    </row>
    <row r="57" spans="1:11" x14ac:dyDescent="0.3">
      <c r="A57" s="24" t="s">
        <v>221</v>
      </c>
      <c r="B57" s="25">
        <v>46269</v>
      </c>
      <c r="C57" s="24" t="s">
        <v>38</v>
      </c>
      <c r="D57" s="24" t="s">
        <v>28</v>
      </c>
      <c r="E57" s="26">
        <v>2499</v>
      </c>
      <c r="F57" s="24">
        <v>3</v>
      </c>
      <c r="G57" s="26">
        <v>7497</v>
      </c>
      <c r="H57" s="24" t="s">
        <v>102</v>
      </c>
      <c r="I57" s="24" t="s">
        <v>58</v>
      </c>
      <c r="J57" s="24" t="s">
        <v>64</v>
      </c>
      <c r="K57" s="24" t="s">
        <v>67</v>
      </c>
    </row>
    <row r="58" spans="1:11" x14ac:dyDescent="0.3">
      <c r="A58" s="24" t="s">
        <v>222</v>
      </c>
      <c r="B58" s="25">
        <v>46269</v>
      </c>
      <c r="C58" s="24" t="s">
        <v>44</v>
      </c>
      <c r="D58" s="24" t="s">
        <v>29</v>
      </c>
      <c r="E58" s="26">
        <v>499</v>
      </c>
      <c r="F58" s="24">
        <v>3</v>
      </c>
      <c r="G58" s="26">
        <v>1497</v>
      </c>
      <c r="H58" s="24" t="s">
        <v>223</v>
      </c>
      <c r="I58" s="24" t="s">
        <v>56</v>
      </c>
      <c r="J58" s="24" t="s">
        <v>63</v>
      </c>
      <c r="K58" s="24" t="s">
        <v>67</v>
      </c>
    </row>
    <row r="59" spans="1:11" x14ac:dyDescent="0.3">
      <c r="A59" s="24" t="s">
        <v>224</v>
      </c>
      <c r="B59" s="25">
        <v>46269</v>
      </c>
      <c r="C59" s="24" t="s">
        <v>225</v>
      </c>
      <c r="D59" s="24" t="s">
        <v>28</v>
      </c>
      <c r="E59" s="26">
        <v>4999</v>
      </c>
      <c r="F59" s="24">
        <v>2</v>
      </c>
      <c r="G59" s="26">
        <v>9998</v>
      </c>
      <c r="H59" s="24" t="s">
        <v>226</v>
      </c>
      <c r="I59" s="24" t="s">
        <v>52</v>
      </c>
      <c r="J59" s="24" t="s">
        <v>63</v>
      </c>
      <c r="K59" s="24" t="s">
        <v>67</v>
      </c>
    </row>
    <row r="60" spans="1:11" x14ac:dyDescent="0.3">
      <c r="A60" s="24" t="s">
        <v>227</v>
      </c>
      <c r="B60" s="25">
        <v>46269</v>
      </c>
      <c r="C60" s="24" t="s">
        <v>48</v>
      </c>
      <c r="D60" s="24" t="s">
        <v>32</v>
      </c>
      <c r="E60" s="26">
        <v>399</v>
      </c>
      <c r="F60" s="24">
        <v>1</v>
      </c>
      <c r="G60" s="26">
        <v>399</v>
      </c>
      <c r="H60" s="24" t="s">
        <v>106</v>
      </c>
      <c r="I60" s="24" t="s">
        <v>51</v>
      </c>
      <c r="J60" s="24" t="s">
        <v>63</v>
      </c>
      <c r="K60" s="24" t="s">
        <v>67</v>
      </c>
    </row>
    <row r="61" spans="1:11" x14ac:dyDescent="0.3">
      <c r="A61" s="24" t="s">
        <v>228</v>
      </c>
      <c r="B61" s="25">
        <v>46269</v>
      </c>
      <c r="C61" s="24" t="s">
        <v>48</v>
      </c>
      <c r="D61" s="24" t="s">
        <v>32</v>
      </c>
      <c r="E61" s="26">
        <v>399</v>
      </c>
      <c r="F61" s="24">
        <v>1</v>
      </c>
      <c r="G61" s="26">
        <v>399</v>
      </c>
      <c r="H61" s="24" t="s">
        <v>118</v>
      </c>
      <c r="I61" s="24" t="s">
        <v>51</v>
      </c>
      <c r="J61" s="24" t="s">
        <v>61</v>
      </c>
      <c r="K61" s="24" t="s">
        <v>67</v>
      </c>
    </row>
    <row r="62" spans="1:11" x14ac:dyDescent="0.3">
      <c r="A62" s="24" t="s">
        <v>229</v>
      </c>
      <c r="B62" s="25">
        <v>46269</v>
      </c>
      <c r="C62" s="24" t="s">
        <v>41</v>
      </c>
      <c r="D62" s="24" t="s">
        <v>31</v>
      </c>
      <c r="E62" s="26">
        <v>1799</v>
      </c>
      <c r="F62" s="24">
        <v>2</v>
      </c>
      <c r="G62" s="26">
        <v>3598</v>
      </c>
      <c r="H62" s="24" t="s">
        <v>223</v>
      </c>
      <c r="I62" s="24" t="s">
        <v>56</v>
      </c>
      <c r="J62" s="24" t="s">
        <v>64</v>
      </c>
      <c r="K62" s="24" t="s">
        <v>67</v>
      </c>
    </row>
    <row r="63" spans="1:11" x14ac:dyDescent="0.3">
      <c r="A63" s="24" t="s">
        <v>230</v>
      </c>
      <c r="B63" s="25">
        <v>46269</v>
      </c>
      <c r="C63" s="24" t="s">
        <v>231</v>
      </c>
      <c r="D63" s="24" t="s">
        <v>30</v>
      </c>
      <c r="E63" s="26">
        <v>3299</v>
      </c>
      <c r="F63" s="24">
        <v>2</v>
      </c>
      <c r="G63" s="26">
        <v>6598</v>
      </c>
      <c r="H63" s="24" t="s">
        <v>112</v>
      </c>
      <c r="I63" s="24" t="s">
        <v>232</v>
      </c>
      <c r="J63" s="24" t="s">
        <v>64</v>
      </c>
      <c r="K63" s="24" t="s">
        <v>67</v>
      </c>
    </row>
    <row r="64" spans="1:11" x14ac:dyDescent="0.3">
      <c r="A64" s="24" t="s">
        <v>233</v>
      </c>
      <c r="B64" s="25">
        <v>46269</v>
      </c>
      <c r="C64" s="24" t="s">
        <v>40</v>
      </c>
      <c r="D64" s="24" t="s">
        <v>30</v>
      </c>
      <c r="E64" s="26">
        <v>2199</v>
      </c>
      <c r="F64" s="24">
        <v>2</v>
      </c>
      <c r="G64" s="26">
        <v>4398</v>
      </c>
      <c r="H64" s="24" t="s">
        <v>87</v>
      </c>
      <c r="I64" s="24" t="s">
        <v>56</v>
      </c>
      <c r="J64" s="24" t="s">
        <v>61</v>
      </c>
      <c r="K64" s="24" t="s">
        <v>67</v>
      </c>
    </row>
    <row r="65" spans="1:11" x14ac:dyDescent="0.3">
      <c r="A65" s="24" t="s">
        <v>234</v>
      </c>
      <c r="B65" s="25">
        <v>46269</v>
      </c>
      <c r="C65" s="24" t="s">
        <v>43</v>
      </c>
      <c r="D65" s="24" t="s">
        <v>28</v>
      </c>
      <c r="E65" s="26">
        <v>1299</v>
      </c>
      <c r="F65" s="24">
        <v>1</v>
      </c>
      <c r="G65" s="26">
        <v>1299</v>
      </c>
      <c r="H65" s="24" t="s">
        <v>116</v>
      </c>
      <c r="I65" s="24" t="s">
        <v>54</v>
      </c>
      <c r="J65" s="24" t="s">
        <v>61</v>
      </c>
      <c r="K65" s="24" t="s">
        <v>67</v>
      </c>
    </row>
    <row r="66" spans="1:11" x14ac:dyDescent="0.3">
      <c r="A66" s="24" t="s">
        <v>234</v>
      </c>
      <c r="B66" s="25">
        <v>46269</v>
      </c>
      <c r="C66" s="24" t="s">
        <v>43</v>
      </c>
      <c r="D66" s="24" t="s">
        <v>28</v>
      </c>
      <c r="E66" s="26">
        <v>1299</v>
      </c>
      <c r="F66" s="24">
        <v>1</v>
      </c>
      <c r="G66" s="26">
        <v>1299</v>
      </c>
      <c r="H66" s="24" t="s">
        <v>116</v>
      </c>
      <c r="I66" s="24" t="s">
        <v>54</v>
      </c>
      <c r="J66" s="24" t="s">
        <v>61</v>
      </c>
      <c r="K66" s="24" t="s">
        <v>67</v>
      </c>
    </row>
    <row r="67" spans="1:11" x14ac:dyDescent="0.3">
      <c r="A67" s="24" t="s">
        <v>235</v>
      </c>
      <c r="B67" s="25">
        <v>46269</v>
      </c>
      <c r="C67" s="24" t="s">
        <v>42</v>
      </c>
      <c r="D67" s="24" t="s">
        <v>28</v>
      </c>
      <c r="E67" s="26">
        <v>1999</v>
      </c>
      <c r="F67" s="24">
        <v>3</v>
      </c>
      <c r="G67" s="26">
        <v>5997</v>
      </c>
      <c r="H67" s="24" t="s">
        <v>120</v>
      </c>
      <c r="I67" s="24" t="s">
        <v>52</v>
      </c>
      <c r="J67" s="24" t="s">
        <v>61</v>
      </c>
      <c r="K67" s="24" t="s">
        <v>67</v>
      </c>
    </row>
    <row r="68" spans="1:11" x14ac:dyDescent="0.3">
      <c r="A68" s="24" t="s">
        <v>236</v>
      </c>
      <c r="B68" s="25">
        <v>46269</v>
      </c>
      <c r="C68" s="24" t="s">
        <v>42</v>
      </c>
      <c r="D68" s="24" t="s">
        <v>28</v>
      </c>
      <c r="E68" s="26">
        <v>1999</v>
      </c>
      <c r="F68" s="24">
        <v>1</v>
      </c>
      <c r="G68" s="26">
        <v>1999</v>
      </c>
      <c r="H68" s="24" t="s">
        <v>119</v>
      </c>
      <c r="I68" s="24" t="s">
        <v>51</v>
      </c>
      <c r="J68" s="24" t="s">
        <v>62</v>
      </c>
      <c r="K68" s="24" t="s">
        <v>67</v>
      </c>
    </row>
    <row r="69" spans="1:11" x14ac:dyDescent="0.3">
      <c r="A69" s="24" t="s">
        <v>237</v>
      </c>
      <c r="B69" s="25">
        <v>46269</v>
      </c>
      <c r="C69" s="24" t="s">
        <v>36</v>
      </c>
      <c r="D69" s="24" t="s">
        <v>30</v>
      </c>
      <c r="E69" s="26">
        <v>3299</v>
      </c>
      <c r="F69" s="24">
        <v>3</v>
      </c>
      <c r="G69" s="26">
        <v>9897</v>
      </c>
      <c r="H69" s="24" t="s">
        <v>101</v>
      </c>
      <c r="I69" s="24" t="s">
        <v>52</v>
      </c>
      <c r="J69" s="24" t="s">
        <v>64</v>
      </c>
      <c r="K69" s="24" t="s">
        <v>67</v>
      </c>
    </row>
    <row r="70" spans="1:11" x14ac:dyDescent="0.3">
      <c r="A70" s="24" t="s">
        <v>238</v>
      </c>
      <c r="B70" s="25">
        <v>46269</v>
      </c>
      <c r="C70" s="24" t="s">
        <v>35</v>
      </c>
      <c r="D70" s="24" t="s">
        <v>28</v>
      </c>
      <c r="E70" s="26">
        <v>4999</v>
      </c>
      <c r="F70" s="24">
        <v>1</v>
      </c>
      <c r="G70" s="26">
        <v>4999</v>
      </c>
      <c r="H70" s="24" t="s">
        <v>95</v>
      </c>
      <c r="I70" s="24" t="s">
        <v>52</v>
      </c>
      <c r="J70" s="24" t="s">
        <v>61</v>
      </c>
      <c r="K70" s="24" t="s">
        <v>163</v>
      </c>
    </row>
    <row r="71" spans="1:11" x14ac:dyDescent="0.3">
      <c r="A71" s="24" t="s">
        <v>239</v>
      </c>
      <c r="B71" s="25">
        <v>46269</v>
      </c>
      <c r="C71" s="24" t="s">
        <v>43</v>
      </c>
      <c r="D71" s="24" t="s">
        <v>28</v>
      </c>
      <c r="E71" s="26">
        <v>1299</v>
      </c>
      <c r="F71" s="24">
        <v>1</v>
      </c>
      <c r="G71" s="26">
        <v>1299</v>
      </c>
      <c r="H71" s="24" t="s">
        <v>123</v>
      </c>
      <c r="I71" s="24" t="s">
        <v>240</v>
      </c>
      <c r="J71" s="24" t="s">
        <v>61</v>
      </c>
      <c r="K71" s="24" t="s">
        <v>67</v>
      </c>
    </row>
    <row r="72" spans="1:11" x14ac:dyDescent="0.3">
      <c r="A72" s="24" t="s">
        <v>241</v>
      </c>
      <c r="B72" s="25">
        <v>46269</v>
      </c>
      <c r="C72" s="24" t="s">
        <v>40</v>
      </c>
      <c r="D72" s="24" t="s">
        <v>30</v>
      </c>
      <c r="E72" s="26">
        <v>2199</v>
      </c>
      <c r="F72" s="24">
        <v>1</v>
      </c>
      <c r="G72" s="26">
        <v>2199</v>
      </c>
      <c r="H72" s="24" t="s">
        <v>129</v>
      </c>
      <c r="I72" s="24" t="s">
        <v>54</v>
      </c>
      <c r="J72" s="24" t="s">
        <v>61</v>
      </c>
      <c r="K72" s="24" t="s">
        <v>67</v>
      </c>
    </row>
    <row r="73" spans="1:11" x14ac:dyDescent="0.3">
      <c r="A73" s="24" t="s">
        <v>242</v>
      </c>
      <c r="B73" s="25">
        <v>46269</v>
      </c>
      <c r="C73" s="24" t="s">
        <v>48</v>
      </c>
      <c r="D73" s="24" t="s">
        <v>32</v>
      </c>
      <c r="E73" s="26">
        <v>399</v>
      </c>
      <c r="F73" s="24">
        <v>1</v>
      </c>
      <c r="G73" s="26">
        <v>399</v>
      </c>
      <c r="H73" s="24" t="s">
        <v>96</v>
      </c>
      <c r="I73" s="24" t="s">
        <v>243</v>
      </c>
      <c r="J73" s="24" t="s">
        <v>61</v>
      </c>
      <c r="K73" s="24" t="s">
        <v>67</v>
      </c>
    </row>
    <row r="74" spans="1:11" x14ac:dyDescent="0.3">
      <c r="A74" s="24" t="s">
        <v>244</v>
      </c>
      <c r="B74" s="25">
        <v>46269</v>
      </c>
      <c r="C74" s="24" t="s">
        <v>38</v>
      </c>
      <c r="D74" s="24" t="s">
        <v>28</v>
      </c>
      <c r="E74" s="26">
        <v>2499</v>
      </c>
      <c r="F74" s="24">
        <v>1</v>
      </c>
      <c r="G74" s="26">
        <v>2499</v>
      </c>
      <c r="H74" s="24" t="s">
        <v>99</v>
      </c>
      <c r="I74" s="24" t="s">
        <v>56</v>
      </c>
      <c r="J74" s="24" t="s">
        <v>63</v>
      </c>
      <c r="K74" s="24" t="s">
        <v>67</v>
      </c>
    </row>
    <row r="75" spans="1:11" x14ac:dyDescent="0.3">
      <c r="A75" s="24" t="s">
        <v>245</v>
      </c>
      <c r="B75" s="25">
        <v>46270</v>
      </c>
      <c r="C75" s="24" t="s">
        <v>41</v>
      </c>
      <c r="D75" s="24" t="s">
        <v>31</v>
      </c>
      <c r="E75" s="26">
        <v>1799</v>
      </c>
      <c r="F75" s="24">
        <v>1</v>
      </c>
      <c r="G75" s="26">
        <v>1799</v>
      </c>
      <c r="H75" s="24" t="s">
        <v>80</v>
      </c>
      <c r="I75" s="24" t="s">
        <v>50</v>
      </c>
      <c r="J75" s="24" t="s">
        <v>62</v>
      </c>
      <c r="K75" s="24" t="s">
        <v>163</v>
      </c>
    </row>
    <row r="76" spans="1:11" x14ac:dyDescent="0.3">
      <c r="A76" s="24" t="s">
        <v>245</v>
      </c>
      <c r="B76" s="25">
        <v>46270</v>
      </c>
      <c r="C76" s="24" t="s">
        <v>41</v>
      </c>
      <c r="D76" s="24" t="s">
        <v>31</v>
      </c>
      <c r="E76" s="26">
        <v>1799</v>
      </c>
      <c r="F76" s="24">
        <v>1</v>
      </c>
      <c r="G76" s="26">
        <v>1799</v>
      </c>
      <c r="H76" s="24" t="s">
        <v>80</v>
      </c>
      <c r="I76" s="24" t="s">
        <v>50</v>
      </c>
      <c r="J76" s="24" t="s">
        <v>62</v>
      </c>
      <c r="K76" s="24" t="s">
        <v>163</v>
      </c>
    </row>
    <row r="77" spans="1:11" x14ac:dyDescent="0.3">
      <c r="A77" s="24" t="s">
        <v>246</v>
      </c>
      <c r="B77" s="25">
        <v>46270</v>
      </c>
      <c r="C77" s="24" t="s">
        <v>43</v>
      </c>
      <c r="D77" s="24" t="s">
        <v>28</v>
      </c>
      <c r="E77" s="26">
        <v>1299</v>
      </c>
      <c r="F77" s="24">
        <v>1</v>
      </c>
      <c r="G77" s="26">
        <v>1299</v>
      </c>
      <c r="H77" s="24" t="s">
        <v>106</v>
      </c>
      <c r="I77" s="24" t="s">
        <v>150</v>
      </c>
      <c r="J77" s="24" t="s">
        <v>62</v>
      </c>
      <c r="K77" s="24" t="s">
        <v>68</v>
      </c>
    </row>
    <row r="78" spans="1:11" x14ac:dyDescent="0.3">
      <c r="A78" s="24" t="s">
        <v>247</v>
      </c>
      <c r="B78" s="25">
        <v>46270</v>
      </c>
      <c r="C78" s="24" t="s">
        <v>35</v>
      </c>
      <c r="D78" s="24" t="s">
        <v>28</v>
      </c>
      <c r="E78" s="26">
        <v>4999</v>
      </c>
      <c r="F78" s="24">
        <v>1</v>
      </c>
      <c r="G78" s="26">
        <v>4999</v>
      </c>
      <c r="H78" s="24" t="s">
        <v>107</v>
      </c>
      <c r="I78" s="24" t="s">
        <v>52</v>
      </c>
      <c r="J78" s="24" t="s">
        <v>61</v>
      </c>
      <c r="K78" s="24" t="s">
        <v>67</v>
      </c>
    </row>
    <row r="79" spans="1:11" x14ac:dyDescent="0.3">
      <c r="A79" s="24" t="s">
        <v>248</v>
      </c>
      <c r="B79" s="25">
        <v>46270</v>
      </c>
      <c r="C79" s="24" t="s">
        <v>46</v>
      </c>
      <c r="D79" s="24" t="s">
        <v>31</v>
      </c>
      <c r="E79" s="26">
        <v>599</v>
      </c>
      <c r="F79" s="24">
        <v>4</v>
      </c>
      <c r="G79" s="26">
        <v>2396</v>
      </c>
      <c r="H79" s="24" t="s">
        <v>119</v>
      </c>
      <c r="I79" s="24" t="s">
        <v>51</v>
      </c>
      <c r="J79" s="24" t="s">
        <v>65</v>
      </c>
      <c r="K79" s="24" t="s">
        <v>67</v>
      </c>
    </row>
    <row r="80" spans="1:11" x14ac:dyDescent="0.3">
      <c r="A80" s="24" t="s">
        <v>249</v>
      </c>
      <c r="B80" s="25">
        <v>46270</v>
      </c>
      <c r="C80" s="24" t="s">
        <v>44</v>
      </c>
      <c r="D80" s="24" t="s">
        <v>29</v>
      </c>
      <c r="E80" s="26">
        <v>499</v>
      </c>
      <c r="F80" s="24">
        <v>1</v>
      </c>
      <c r="G80" s="26">
        <v>499</v>
      </c>
      <c r="H80" s="24" t="s">
        <v>84</v>
      </c>
      <c r="I80" s="24" t="s">
        <v>54</v>
      </c>
      <c r="J80" s="24" t="s">
        <v>61</v>
      </c>
      <c r="K80" s="24" t="s">
        <v>67</v>
      </c>
    </row>
    <row r="81" spans="1:11" x14ac:dyDescent="0.3">
      <c r="A81" s="24" t="s">
        <v>250</v>
      </c>
      <c r="B81" s="25">
        <v>46270</v>
      </c>
      <c r="C81" s="24" t="s">
        <v>251</v>
      </c>
      <c r="D81" s="24" t="s">
        <v>28</v>
      </c>
      <c r="E81" s="26">
        <v>1999</v>
      </c>
      <c r="F81" s="24">
        <v>1</v>
      </c>
      <c r="G81" s="26">
        <v>1999</v>
      </c>
      <c r="H81" s="24" t="s">
        <v>106</v>
      </c>
      <c r="I81" s="24" t="s">
        <v>51</v>
      </c>
      <c r="J81" s="24" t="s">
        <v>61</v>
      </c>
      <c r="K81" s="24" t="s">
        <v>163</v>
      </c>
    </row>
    <row r="82" spans="1:11" x14ac:dyDescent="0.3">
      <c r="A82" s="24" t="s">
        <v>252</v>
      </c>
      <c r="B82" s="25">
        <v>46270</v>
      </c>
      <c r="C82" s="24" t="s">
        <v>38</v>
      </c>
      <c r="D82" s="24" t="s">
        <v>28</v>
      </c>
      <c r="E82" s="26">
        <v>2499</v>
      </c>
      <c r="F82" s="24">
        <v>2</v>
      </c>
      <c r="G82" s="26">
        <v>4998</v>
      </c>
      <c r="H82" s="24" t="s">
        <v>75</v>
      </c>
      <c r="I82" s="24" t="s">
        <v>51</v>
      </c>
      <c r="J82" s="24" t="s">
        <v>61</v>
      </c>
      <c r="K82" s="24" t="s">
        <v>67</v>
      </c>
    </row>
    <row r="83" spans="1:11" x14ac:dyDescent="0.3">
      <c r="A83" s="24" t="s">
        <v>253</v>
      </c>
      <c r="B83" s="25">
        <v>46270</v>
      </c>
      <c r="C83" s="24" t="s">
        <v>47</v>
      </c>
      <c r="D83" s="24" t="s">
        <v>32</v>
      </c>
      <c r="E83" s="26">
        <v>699</v>
      </c>
      <c r="F83" s="24">
        <v>1</v>
      </c>
      <c r="G83" s="26">
        <v>699</v>
      </c>
      <c r="H83" s="24" t="s">
        <v>107</v>
      </c>
      <c r="I83" s="24" t="s">
        <v>52</v>
      </c>
      <c r="J83" s="24" t="s">
        <v>65</v>
      </c>
      <c r="K83" s="24" t="s">
        <v>67</v>
      </c>
    </row>
    <row r="84" spans="1:11" x14ac:dyDescent="0.3">
      <c r="A84" s="24" t="s">
        <v>254</v>
      </c>
      <c r="B84" s="25">
        <v>46270</v>
      </c>
      <c r="C84" s="24" t="s">
        <v>37</v>
      </c>
      <c r="D84" s="24" t="s">
        <v>29</v>
      </c>
      <c r="E84" s="26">
        <v>3499</v>
      </c>
      <c r="F84" s="24">
        <v>2</v>
      </c>
      <c r="G84" s="26">
        <v>6998</v>
      </c>
      <c r="H84" s="24" t="s">
        <v>127</v>
      </c>
      <c r="I84" s="24" t="s">
        <v>52</v>
      </c>
      <c r="J84" s="24" t="s">
        <v>63</v>
      </c>
      <c r="K84" s="24" t="s">
        <v>67</v>
      </c>
    </row>
    <row r="85" spans="1:11" x14ac:dyDescent="0.3">
      <c r="A85" s="24" t="s">
        <v>255</v>
      </c>
      <c r="B85" s="25">
        <v>46270</v>
      </c>
      <c r="C85" s="24" t="s">
        <v>145</v>
      </c>
      <c r="D85" s="24" t="s">
        <v>32</v>
      </c>
      <c r="E85" s="26">
        <v>399</v>
      </c>
      <c r="F85" s="24">
        <v>1</v>
      </c>
      <c r="G85" s="26">
        <v>399</v>
      </c>
      <c r="H85" s="24" t="s">
        <v>76</v>
      </c>
      <c r="I85" s="24" t="s">
        <v>53</v>
      </c>
      <c r="J85" s="24" t="s">
        <v>62</v>
      </c>
      <c r="K85" s="24" t="s">
        <v>67</v>
      </c>
    </row>
    <row r="86" spans="1:11" x14ac:dyDescent="0.3">
      <c r="A86" s="24" t="s">
        <v>256</v>
      </c>
      <c r="B86" s="25">
        <v>46270</v>
      </c>
      <c r="C86" s="24" t="s">
        <v>48</v>
      </c>
      <c r="D86" s="24" t="s">
        <v>32</v>
      </c>
      <c r="E86" s="26">
        <v>399</v>
      </c>
      <c r="F86" s="24">
        <v>1</v>
      </c>
      <c r="G86" s="26">
        <v>399</v>
      </c>
      <c r="H86" s="24" t="s">
        <v>121</v>
      </c>
      <c r="I86" s="24" t="s">
        <v>55</v>
      </c>
      <c r="J86" s="24" t="s">
        <v>64</v>
      </c>
      <c r="K86" s="24" t="s">
        <v>67</v>
      </c>
    </row>
    <row r="87" spans="1:11" x14ac:dyDescent="0.3">
      <c r="A87" s="24" t="s">
        <v>257</v>
      </c>
      <c r="B87" s="25">
        <v>46270</v>
      </c>
      <c r="C87" s="24" t="s">
        <v>36</v>
      </c>
      <c r="D87" s="24" t="s">
        <v>30</v>
      </c>
      <c r="E87" s="26">
        <v>3299</v>
      </c>
      <c r="F87" s="24">
        <v>1</v>
      </c>
      <c r="G87" s="26">
        <v>3299</v>
      </c>
      <c r="H87" s="24" t="s">
        <v>75</v>
      </c>
      <c r="I87" s="24" t="s">
        <v>51</v>
      </c>
      <c r="J87" s="24" t="s">
        <v>62</v>
      </c>
      <c r="K87" s="24" t="s">
        <v>67</v>
      </c>
    </row>
    <row r="88" spans="1:11" x14ac:dyDescent="0.3">
      <c r="A88" s="24" t="s">
        <v>258</v>
      </c>
      <c r="B88" s="25">
        <v>46270</v>
      </c>
      <c r="C88" s="24" t="s">
        <v>46</v>
      </c>
      <c r="D88" s="24" t="s">
        <v>31</v>
      </c>
      <c r="E88" s="26">
        <v>599</v>
      </c>
      <c r="F88" s="24">
        <v>1</v>
      </c>
      <c r="G88" s="26">
        <v>599</v>
      </c>
      <c r="H88" s="24" t="s">
        <v>125</v>
      </c>
      <c r="I88" s="24" t="s">
        <v>52</v>
      </c>
      <c r="J88" s="24" t="s">
        <v>62</v>
      </c>
      <c r="K88" s="24" t="s">
        <v>67</v>
      </c>
    </row>
    <row r="89" spans="1:11" x14ac:dyDescent="0.3">
      <c r="A89" s="24" t="s">
        <v>259</v>
      </c>
      <c r="B89" s="25">
        <v>46270</v>
      </c>
      <c r="C89" s="24" t="s">
        <v>37</v>
      </c>
      <c r="D89" s="24" t="s">
        <v>29</v>
      </c>
      <c r="E89" s="26">
        <v>3499</v>
      </c>
      <c r="F89" s="24">
        <v>2</v>
      </c>
      <c r="G89" s="26">
        <v>6998</v>
      </c>
      <c r="H89" s="24" t="s">
        <v>260</v>
      </c>
      <c r="I89" s="24" t="s">
        <v>50</v>
      </c>
      <c r="J89" s="24" t="s">
        <v>61</v>
      </c>
      <c r="K89" s="24" t="s">
        <v>69</v>
      </c>
    </row>
    <row r="90" spans="1:11" x14ac:dyDescent="0.3">
      <c r="A90" s="24" t="s">
        <v>259</v>
      </c>
      <c r="B90" s="25">
        <v>46270</v>
      </c>
      <c r="C90" s="24" t="s">
        <v>37</v>
      </c>
      <c r="D90" s="24" t="s">
        <v>29</v>
      </c>
      <c r="E90" s="26">
        <v>3499</v>
      </c>
      <c r="F90" s="24">
        <v>2</v>
      </c>
      <c r="G90" s="26">
        <v>6998</v>
      </c>
      <c r="H90" s="24" t="s">
        <v>260</v>
      </c>
      <c r="I90" s="24" t="s">
        <v>50</v>
      </c>
      <c r="J90" s="24" t="s">
        <v>61</v>
      </c>
      <c r="K90" s="24" t="s">
        <v>69</v>
      </c>
    </row>
    <row r="91" spans="1:11" x14ac:dyDescent="0.3">
      <c r="A91" s="24" t="s">
        <v>261</v>
      </c>
      <c r="B91" s="25">
        <v>46270</v>
      </c>
      <c r="C91" s="24" t="s">
        <v>45</v>
      </c>
      <c r="D91" s="24" t="s">
        <v>30</v>
      </c>
      <c r="E91" s="26">
        <v>899</v>
      </c>
      <c r="F91" s="24">
        <v>1</v>
      </c>
      <c r="G91" s="26">
        <v>899</v>
      </c>
      <c r="H91" s="24" t="s">
        <v>262</v>
      </c>
      <c r="I91" s="24" t="s">
        <v>173</v>
      </c>
      <c r="J91" s="24" t="s">
        <v>61</v>
      </c>
      <c r="K91" s="24" t="s">
        <v>67</v>
      </c>
    </row>
    <row r="92" spans="1:11" x14ac:dyDescent="0.3">
      <c r="A92" s="24" t="s">
        <v>263</v>
      </c>
      <c r="B92" s="25">
        <v>46270</v>
      </c>
      <c r="C92" s="24" t="s">
        <v>48</v>
      </c>
      <c r="D92" s="24" t="s">
        <v>32</v>
      </c>
      <c r="E92" s="26">
        <v>399</v>
      </c>
      <c r="F92" s="24">
        <v>4</v>
      </c>
      <c r="G92" s="26">
        <v>1596</v>
      </c>
      <c r="H92" s="24" t="s">
        <v>123</v>
      </c>
      <c r="I92" s="24" t="s">
        <v>55</v>
      </c>
      <c r="J92" s="24" t="s">
        <v>61</v>
      </c>
      <c r="K92" s="24" t="s">
        <v>67</v>
      </c>
    </row>
    <row r="93" spans="1:11" x14ac:dyDescent="0.3">
      <c r="A93" s="24" t="s">
        <v>264</v>
      </c>
      <c r="B93" s="25">
        <v>46270</v>
      </c>
      <c r="C93" s="24" t="s">
        <v>44</v>
      </c>
      <c r="D93" s="24" t="s">
        <v>29</v>
      </c>
      <c r="E93" s="26">
        <v>499</v>
      </c>
      <c r="F93" s="24">
        <v>2</v>
      </c>
      <c r="G93" s="26">
        <v>998</v>
      </c>
      <c r="H93" s="24" t="s">
        <v>265</v>
      </c>
      <c r="I93" s="24" t="s">
        <v>51</v>
      </c>
      <c r="J93" s="24" t="s">
        <v>64</v>
      </c>
      <c r="K93" s="24" t="s">
        <v>67</v>
      </c>
    </row>
    <row r="94" spans="1:11" x14ac:dyDescent="0.3">
      <c r="A94" s="24" t="s">
        <v>266</v>
      </c>
      <c r="B94" s="25">
        <v>46270</v>
      </c>
      <c r="C94" s="24" t="s">
        <v>43</v>
      </c>
      <c r="D94" s="24" t="s">
        <v>28</v>
      </c>
      <c r="E94" s="26">
        <v>1299</v>
      </c>
      <c r="F94" s="24">
        <v>1</v>
      </c>
      <c r="G94" s="26">
        <v>1299</v>
      </c>
      <c r="H94" s="24" t="s">
        <v>89</v>
      </c>
      <c r="I94" s="24" t="s">
        <v>152</v>
      </c>
      <c r="J94" s="24" t="s">
        <v>61</v>
      </c>
      <c r="K94" s="24" t="s">
        <v>69</v>
      </c>
    </row>
    <row r="95" spans="1:11" x14ac:dyDescent="0.3">
      <c r="A95" s="24" t="s">
        <v>267</v>
      </c>
      <c r="B95" s="25">
        <v>46270</v>
      </c>
      <c r="C95" s="24" t="s">
        <v>40</v>
      </c>
      <c r="D95" s="24" t="s">
        <v>30</v>
      </c>
      <c r="E95" s="26">
        <v>2199</v>
      </c>
      <c r="F95" s="24">
        <v>2</v>
      </c>
      <c r="G95" s="26">
        <v>4398</v>
      </c>
      <c r="H95" s="24" t="s">
        <v>78</v>
      </c>
      <c r="I95" s="24" t="s">
        <v>53</v>
      </c>
      <c r="J95" s="24" t="s">
        <v>61</v>
      </c>
      <c r="K95" s="24" t="s">
        <v>67</v>
      </c>
    </row>
    <row r="96" spans="1:11" x14ac:dyDescent="0.3">
      <c r="A96" s="24" t="s">
        <v>268</v>
      </c>
      <c r="B96" s="25">
        <v>46270</v>
      </c>
      <c r="C96" s="24" t="s">
        <v>39</v>
      </c>
      <c r="D96" s="24" t="s">
        <v>29</v>
      </c>
      <c r="E96" s="26">
        <v>5999</v>
      </c>
      <c r="F96" s="24">
        <v>2</v>
      </c>
      <c r="G96" s="26">
        <v>11998</v>
      </c>
      <c r="H96" s="24" t="s">
        <v>82</v>
      </c>
      <c r="I96" s="24" t="s">
        <v>50</v>
      </c>
      <c r="J96" s="24" t="s">
        <v>61</v>
      </c>
      <c r="K96" s="24" t="s">
        <v>67</v>
      </c>
    </row>
    <row r="97" spans="1:11" x14ac:dyDescent="0.3">
      <c r="A97" s="24" t="s">
        <v>268</v>
      </c>
      <c r="B97" s="25">
        <v>46270</v>
      </c>
      <c r="C97" s="24" t="s">
        <v>39</v>
      </c>
      <c r="D97" s="24" t="s">
        <v>29</v>
      </c>
      <c r="E97" s="26">
        <v>5999</v>
      </c>
      <c r="F97" s="24">
        <v>2</v>
      </c>
      <c r="G97" s="26">
        <v>11998</v>
      </c>
      <c r="H97" s="24" t="s">
        <v>82</v>
      </c>
      <c r="I97" s="24" t="s">
        <v>50</v>
      </c>
      <c r="J97" s="24" t="s">
        <v>61</v>
      </c>
      <c r="K97" s="24" t="s">
        <v>67</v>
      </c>
    </row>
    <row r="98" spans="1:11" x14ac:dyDescent="0.3">
      <c r="A98" s="24" t="s">
        <v>269</v>
      </c>
      <c r="B98" s="25">
        <v>46270</v>
      </c>
      <c r="C98" s="24" t="s">
        <v>193</v>
      </c>
      <c r="D98" s="24" t="s">
        <v>31</v>
      </c>
      <c r="E98" s="26">
        <v>1799</v>
      </c>
      <c r="F98" s="24">
        <v>1</v>
      </c>
      <c r="G98" s="26">
        <v>1799</v>
      </c>
      <c r="H98" s="24" t="s">
        <v>118</v>
      </c>
      <c r="I98" s="24" t="s">
        <v>51</v>
      </c>
      <c r="J98" s="24" t="s">
        <v>61</v>
      </c>
      <c r="K98" s="24" t="s">
        <v>67</v>
      </c>
    </row>
    <row r="99" spans="1:11" x14ac:dyDescent="0.3">
      <c r="A99" s="24" t="s">
        <v>270</v>
      </c>
      <c r="B99" s="25">
        <v>46270</v>
      </c>
      <c r="C99" s="24" t="s">
        <v>41</v>
      </c>
      <c r="D99" s="24" t="s">
        <v>31</v>
      </c>
      <c r="E99" s="26">
        <v>1799</v>
      </c>
      <c r="F99" s="24">
        <v>2</v>
      </c>
      <c r="G99" s="26">
        <v>3598</v>
      </c>
      <c r="H99" s="24" t="s">
        <v>271</v>
      </c>
      <c r="I99" s="24" t="s">
        <v>53</v>
      </c>
      <c r="J99" s="24" t="s">
        <v>65</v>
      </c>
      <c r="K99" s="24" t="s">
        <v>69</v>
      </c>
    </row>
    <row r="100" spans="1:11" x14ac:dyDescent="0.3">
      <c r="A100" s="24" t="s">
        <v>272</v>
      </c>
      <c r="B100" s="25">
        <v>46270</v>
      </c>
      <c r="C100" s="24" t="s">
        <v>36</v>
      </c>
      <c r="D100" s="24" t="s">
        <v>30</v>
      </c>
      <c r="E100" s="26">
        <v>3299</v>
      </c>
      <c r="F100" s="24">
        <v>1</v>
      </c>
      <c r="G100" s="26">
        <v>3299</v>
      </c>
      <c r="H100" s="24" t="s">
        <v>119</v>
      </c>
      <c r="I100" s="24" t="s">
        <v>51</v>
      </c>
      <c r="J100" s="24" t="s">
        <v>64</v>
      </c>
      <c r="K100" s="24" t="s">
        <v>67</v>
      </c>
    </row>
    <row r="101" spans="1:11" x14ac:dyDescent="0.3">
      <c r="A101" s="24" t="s">
        <v>273</v>
      </c>
      <c r="B101" s="25">
        <v>46271</v>
      </c>
      <c r="C101" s="24" t="s">
        <v>38</v>
      </c>
      <c r="D101" s="24" t="s">
        <v>28</v>
      </c>
      <c r="E101" s="26">
        <v>2499</v>
      </c>
      <c r="F101" s="24">
        <v>1</v>
      </c>
      <c r="G101" s="26">
        <v>2499</v>
      </c>
      <c r="H101" s="24" t="s">
        <v>126</v>
      </c>
      <c r="I101" s="24" t="s">
        <v>50</v>
      </c>
      <c r="J101" s="24" t="s">
        <v>61</v>
      </c>
      <c r="K101" s="24" t="s">
        <v>67</v>
      </c>
    </row>
    <row r="102" spans="1:11" x14ac:dyDescent="0.3">
      <c r="A102" s="24" t="s">
        <v>274</v>
      </c>
      <c r="B102" s="25">
        <v>46271</v>
      </c>
      <c r="C102" s="24" t="s">
        <v>42</v>
      </c>
      <c r="D102" s="24" t="s">
        <v>28</v>
      </c>
      <c r="E102" s="26">
        <v>1999</v>
      </c>
      <c r="F102" s="24">
        <v>1</v>
      </c>
      <c r="G102" s="26">
        <v>1999</v>
      </c>
      <c r="H102" s="24" t="s">
        <v>76</v>
      </c>
      <c r="I102" s="24" t="s">
        <v>53</v>
      </c>
      <c r="J102" s="24" t="s">
        <v>61</v>
      </c>
      <c r="K102" s="24" t="s">
        <v>67</v>
      </c>
    </row>
    <row r="103" spans="1:11" x14ac:dyDescent="0.3">
      <c r="A103" s="24" t="s">
        <v>275</v>
      </c>
      <c r="B103" s="25">
        <v>46271</v>
      </c>
      <c r="C103" s="24" t="s">
        <v>37</v>
      </c>
      <c r="D103" s="24" t="s">
        <v>29</v>
      </c>
      <c r="E103" s="26">
        <v>3499</v>
      </c>
      <c r="F103" s="24">
        <v>3</v>
      </c>
      <c r="G103" s="26">
        <v>10497</v>
      </c>
      <c r="H103" s="24" t="s">
        <v>81</v>
      </c>
      <c r="I103" s="24" t="s">
        <v>51</v>
      </c>
      <c r="J103" s="24" t="s">
        <v>62</v>
      </c>
      <c r="K103" s="24" t="s">
        <v>67</v>
      </c>
    </row>
    <row r="104" spans="1:11" x14ac:dyDescent="0.3">
      <c r="A104" s="24" t="s">
        <v>276</v>
      </c>
      <c r="B104" s="25">
        <v>46271</v>
      </c>
      <c r="C104" s="24" t="s">
        <v>35</v>
      </c>
      <c r="D104" s="24" t="s">
        <v>28</v>
      </c>
      <c r="E104" s="26">
        <v>4999</v>
      </c>
      <c r="F104" s="24">
        <v>1</v>
      </c>
      <c r="G104" s="26">
        <v>4999</v>
      </c>
      <c r="H104" s="24" t="s">
        <v>82</v>
      </c>
      <c r="I104" s="24" t="s">
        <v>50</v>
      </c>
      <c r="J104" s="24" t="s">
        <v>64</v>
      </c>
      <c r="K104" s="24" t="s">
        <v>69</v>
      </c>
    </row>
    <row r="105" spans="1:11" x14ac:dyDescent="0.3">
      <c r="A105" s="24" t="s">
        <v>277</v>
      </c>
      <c r="B105" s="25">
        <v>46271</v>
      </c>
      <c r="C105" s="24" t="s">
        <v>40</v>
      </c>
      <c r="D105" s="24" t="s">
        <v>30</v>
      </c>
      <c r="E105" s="26">
        <v>2199</v>
      </c>
      <c r="F105" s="24">
        <v>1</v>
      </c>
      <c r="G105" s="26">
        <v>2199</v>
      </c>
      <c r="H105" s="24" t="s">
        <v>124</v>
      </c>
      <c r="I105" s="24" t="s">
        <v>51</v>
      </c>
      <c r="J105" s="24" t="s">
        <v>63</v>
      </c>
      <c r="K105" s="24" t="s">
        <v>67</v>
      </c>
    </row>
    <row r="106" spans="1:11" x14ac:dyDescent="0.3">
      <c r="A106" s="24" t="s">
        <v>278</v>
      </c>
      <c r="B106" s="25">
        <v>46271</v>
      </c>
      <c r="C106" s="24" t="s">
        <v>36</v>
      </c>
      <c r="D106" s="24" t="s">
        <v>30</v>
      </c>
      <c r="E106" s="26">
        <v>3299</v>
      </c>
      <c r="F106" s="24">
        <v>2</v>
      </c>
      <c r="G106" s="26">
        <v>6598</v>
      </c>
      <c r="H106" s="24" t="s">
        <v>279</v>
      </c>
      <c r="I106" s="24" t="s">
        <v>57</v>
      </c>
      <c r="J106" s="24" t="s">
        <v>65</v>
      </c>
      <c r="K106" s="24" t="s">
        <v>67</v>
      </c>
    </row>
    <row r="107" spans="1:11" x14ac:dyDescent="0.3">
      <c r="A107" s="24" t="s">
        <v>280</v>
      </c>
      <c r="B107" s="25">
        <v>46271</v>
      </c>
      <c r="C107" s="24" t="s">
        <v>281</v>
      </c>
      <c r="D107" s="24" t="s">
        <v>29</v>
      </c>
      <c r="E107" s="26">
        <v>5999</v>
      </c>
      <c r="F107" s="24">
        <v>3</v>
      </c>
      <c r="G107" s="26">
        <v>17997</v>
      </c>
      <c r="H107" s="24" t="s">
        <v>126</v>
      </c>
      <c r="I107" s="24" t="s">
        <v>50</v>
      </c>
      <c r="J107" s="24" t="s">
        <v>62</v>
      </c>
      <c r="K107" s="24" t="s">
        <v>68</v>
      </c>
    </row>
    <row r="108" spans="1:11" x14ac:dyDescent="0.3">
      <c r="A108" s="24" t="s">
        <v>282</v>
      </c>
      <c r="B108" s="25">
        <v>46271</v>
      </c>
      <c r="C108" s="24" t="s">
        <v>42</v>
      </c>
      <c r="D108" s="24" t="s">
        <v>28</v>
      </c>
      <c r="E108" s="26">
        <v>1999</v>
      </c>
      <c r="F108" s="24">
        <v>3</v>
      </c>
      <c r="G108" s="26">
        <v>5997</v>
      </c>
      <c r="H108" s="24" t="s">
        <v>81</v>
      </c>
      <c r="I108" s="24" t="s">
        <v>150</v>
      </c>
      <c r="J108" s="24" t="s">
        <v>62</v>
      </c>
      <c r="K108" s="24" t="s">
        <v>67</v>
      </c>
    </row>
    <row r="109" spans="1:11" x14ac:dyDescent="0.3">
      <c r="A109" s="24" t="s">
        <v>283</v>
      </c>
      <c r="B109" s="25">
        <v>46271</v>
      </c>
      <c r="C109" s="24" t="s">
        <v>42</v>
      </c>
      <c r="D109" s="24" t="s">
        <v>28</v>
      </c>
      <c r="E109" s="26">
        <v>1999</v>
      </c>
      <c r="F109" s="24">
        <v>2</v>
      </c>
      <c r="G109" s="26">
        <v>3998</v>
      </c>
      <c r="H109" s="24" t="s">
        <v>284</v>
      </c>
      <c r="I109" s="24" t="s">
        <v>58</v>
      </c>
      <c r="J109" s="24" t="s">
        <v>64</v>
      </c>
      <c r="K109" s="24" t="s">
        <v>67</v>
      </c>
    </row>
    <row r="110" spans="1:11" x14ac:dyDescent="0.3">
      <c r="A110" s="24" t="s">
        <v>285</v>
      </c>
      <c r="B110" s="25">
        <v>46271</v>
      </c>
      <c r="C110" s="24" t="s">
        <v>199</v>
      </c>
      <c r="D110" s="24" t="s">
        <v>32</v>
      </c>
      <c r="E110" s="26">
        <v>399</v>
      </c>
      <c r="F110" s="24">
        <v>2</v>
      </c>
      <c r="G110" s="26">
        <v>798</v>
      </c>
      <c r="H110" s="24" t="s">
        <v>286</v>
      </c>
      <c r="I110" s="24" t="s">
        <v>53</v>
      </c>
      <c r="J110" s="24" t="s">
        <v>62</v>
      </c>
      <c r="K110" s="24" t="s">
        <v>67</v>
      </c>
    </row>
    <row r="111" spans="1:11" x14ac:dyDescent="0.3">
      <c r="A111" s="24" t="s">
        <v>287</v>
      </c>
      <c r="B111" s="25">
        <v>46271</v>
      </c>
      <c r="C111" s="24" t="s">
        <v>36</v>
      </c>
      <c r="D111" s="24" t="s">
        <v>30</v>
      </c>
      <c r="E111" s="26">
        <v>3299</v>
      </c>
      <c r="F111" s="24">
        <v>1</v>
      </c>
      <c r="G111" s="26">
        <v>3299</v>
      </c>
      <c r="H111" s="24" t="s">
        <v>123</v>
      </c>
      <c r="I111" s="24" t="s">
        <v>55</v>
      </c>
      <c r="J111" s="24" t="s">
        <v>65</v>
      </c>
      <c r="K111" s="24" t="s">
        <v>67</v>
      </c>
    </row>
    <row r="112" spans="1:11" x14ac:dyDescent="0.3">
      <c r="A112" s="24" t="s">
        <v>288</v>
      </c>
      <c r="B112" s="25">
        <v>46272</v>
      </c>
      <c r="C112" s="24" t="s">
        <v>46</v>
      </c>
      <c r="D112" s="24" t="s">
        <v>31</v>
      </c>
      <c r="E112" s="26">
        <v>599</v>
      </c>
      <c r="F112" s="24">
        <v>1</v>
      </c>
      <c r="G112" s="26">
        <v>599</v>
      </c>
      <c r="H112" s="24" t="s">
        <v>114</v>
      </c>
      <c r="I112" s="24" t="s">
        <v>52</v>
      </c>
      <c r="J112" s="24" t="s">
        <v>63</v>
      </c>
      <c r="K112" s="24" t="s">
        <v>67</v>
      </c>
    </row>
    <row r="113" spans="1:11" x14ac:dyDescent="0.3">
      <c r="A113" s="24" t="s">
        <v>289</v>
      </c>
      <c r="B113" s="25">
        <v>46272</v>
      </c>
      <c r="C113" s="24" t="s">
        <v>47</v>
      </c>
      <c r="D113" s="24" t="s">
        <v>32</v>
      </c>
      <c r="E113" s="26">
        <v>699</v>
      </c>
      <c r="F113" s="24">
        <v>2</v>
      </c>
      <c r="G113" s="26">
        <v>1398</v>
      </c>
      <c r="H113" s="24" t="s">
        <v>114</v>
      </c>
      <c r="I113" s="24" t="s">
        <v>52</v>
      </c>
      <c r="J113" s="24" t="s">
        <v>61</v>
      </c>
      <c r="K113" s="24" t="s">
        <v>67</v>
      </c>
    </row>
    <row r="114" spans="1:11" x14ac:dyDescent="0.3">
      <c r="A114" s="24" t="s">
        <v>290</v>
      </c>
      <c r="B114" s="25">
        <v>46272</v>
      </c>
      <c r="C114" s="24" t="s">
        <v>42</v>
      </c>
      <c r="D114" s="24" t="s">
        <v>28</v>
      </c>
      <c r="E114" s="26">
        <v>1999</v>
      </c>
      <c r="F114" s="24">
        <v>1</v>
      </c>
      <c r="G114" s="26">
        <v>1999</v>
      </c>
      <c r="H114" s="24" t="s">
        <v>92</v>
      </c>
      <c r="I114" s="24" t="s">
        <v>51</v>
      </c>
      <c r="J114" s="24" t="s">
        <v>63</v>
      </c>
      <c r="K114" s="24" t="s">
        <v>67</v>
      </c>
    </row>
    <row r="115" spans="1:11" x14ac:dyDescent="0.3">
      <c r="A115" s="24" t="s">
        <v>291</v>
      </c>
      <c r="B115" s="25">
        <v>46272</v>
      </c>
      <c r="C115" s="24" t="s">
        <v>44</v>
      </c>
      <c r="D115" s="24" t="s">
        <v>29</v>
      </c>
      <c r="E115" s="26">
        <v>499</v>
      </c>
      <c r="F115" s="24">
        <v>2</v>
      </c>
      <c r="G115" s="26">
        <v>998</v>
      </c>
      <c r="H115" s="24" t="s">
        <v>87</v>
      </c>
      <c r="I115" s="24" t="s">
        <v>292</v>
      </c>
      <c r="J115" s="24" t="s">
        <v>64</v>
      </c>
      <c r="K115" s="24" t="s">
        <v>67</v>
      </c>
    </row>
    <row r="116" spans="1:11" x14ac:dyDescent="0.3">
      <c r="A116" s="24" t="s">
        <v>293</v>
      </c>
      <c r="B116" s="25">
        <v>46272</v>
      </c>
      <c r="C116" s="24" t="s">
        <v>38</v>
      </c>
      <c r="D116" s="24" t="s">
        <v>28</v>
      </c>
      <c r="E116" s="26">
        <v>2499</v>
      </c>
      <c r="F116" s="24">
        <v>1</v>
      </c>
      <c r="G116" s="26">
        <v>2499</v>
      </c>
      <c r="H116" s="24" t="s">
        <v>107</v>
      </c>
      <c r="I116" s="24" t="s">
        <v>52</v>
      </c>
      <c r="J116" s="24" t="s">
        <v>61</v>
      </c>
      <c r="K116" s="24" t="s">
        <v>67</v>
      </c>
    </row>
    <row r="117" spans="1:11" x14ac:dyDescent="0.3">
      <c r="A117" s="24" t="s">
        <v>294</v>
      </c>
      <c r="B117" s="25">
        <v>46272</v>
      </c>
      <c r="C117" s="24" t="s">
        <v>39</v>
      </c>
      <c r="D117" s="24" t="s">
        <v>29</v>
      </c>
      <c r="E117" s="26">
        <v>5999</v>
      </c>
      <c r="F117" s="24">
        <v>1</v>
      </c>
      <c r="G117" s="26">
        <v>5999</v>
      </c>
      <c r="H117" s="24" t="s">
        <v>295</v>
      </c>
      <c r="I117" s="24" t="s">
        <v>51</v>
      </c>
      <c r="J117" s="24" t="s">
        <v>62</v>
      </c>
      <c r="K117" s="24" t="s">
        <v>67</v>
      </c>
    </row>
    <row r="118" spans="1:11" x14ac:dyDescent="0.3">
      <c r="A118" s="24" t="s">
        <v>296</v>
      </c>
      <c r="B118" s="25">
        <v>46272</v>
      </c>
      <c r="C118" s="24" t="s">
        <v>46</v>
      </c>
      <c r="D118" s="24" t="s">
        <v>31</v>
      </c>
      <c r="E118" s="26">
        <v>599</v>
      </c>
      <c r="F118" s="24">
        <v>1</v>
      </c>
      <c r="G118" s="26">
        <v>599</v>
      </c>
      <c r="H118" s="24" t="s">
        <v>113</v>
      </c>
      <c r="I118" s="24" t="s">
        <v>53</v>
      </c>
      <c r="J118" s="24" t="s">
        <v>62</v>
      </c>
      <c r="K118" s="24" t="s">
        <v>67</v>
      </c>
    </row>
    <row r="119" spans="1:11" x14ac:dyDescent="0.3">
      <c r="A119" s="24" t="s">
        <v>297</v>
      </c>
      <c r="B119" s="25">
        <v>46272</v>
      </c>
      <c r="C119" s="24" t="s">
        <v>298</v>
      </c>
      <c r="D119" s="24" t="s">
        <v>28</v>
      </c>
      <c r="E119" s="26">
        <v>2499</v>
      </c>
      <c r="F119" s="24">
        <v>1</v>
      </c>
      <c r="G119" s="26">
        <v>2499</v>
      </c>
      <c r="H119" s="24" t="s">
        <v>104</v>
      </c>
      <c r="I119" s="24" t="s">
        <v>150</v>
      </c>
      <c r="J119" s="24" t="s">
        <v>63</v>
      </c>
      <c r="K119" s="24" t="s">
        <v>67</v>
      </c>
    </row>
    <row r="120" spans="1:11" x14ac:dyDescent="0.3">
      <c r="A120" s="24" t="s">
        <v>299</v>
      </c>
      <c r="B120" s="25">
        <v>46272</v>
      </c>
      <c r="C120" s="24" t="s">
        <v>40</v>
      </c>
      <c r="D120" s="24" t="s">
        <v>30</v>
      </c>
      <c r="E120" s="26">
        <v>2199</v>
      </c>
      <c r="F120" s="24">
        <v>2</v>
      </c>
      <c r="G120" s="26">
        <v>4398</v>
      </c>
      <c r="H120" s="24" t="s">
        <v>119</v>
      </c>
      <c r="I120" s="24" t="s">
        <v>51</v>
      </c>
      <c r="J120" s="24" t="s">
        <v>63</v>
      </c>
      <c r="K120" s="24" t="s">
        <v>67</v>
      </c>
    </row>
    <row r="121" spans="1:11" x14ac:dyDescent="0.3">
      <c r="A121" s="24" t="s">
        <v>300</v>
      </c>
      <c r="B121" s="25">
        <v>46272</v>
      </c>
      <c r="C121" s="24" t="s">
        <v>38</v>
      </c>
      <c r="D121" s="24" t="s">
        <v>28</v>
      </c>
      <c r="E121" s="26">
        <v>2499</v>
      </c>
      <c r="F121" s="24">
        <v>1</v>
      </c>
      <c r="G121" s="26">
        <v>2499</v>
      </c>
      <c r="H121" s="24" t="s">
        <v>106</v>
      </c>
      <c r="I121" s="24" t="s">
        <v>51</v>
      </c>
      <c r="J121" s="24" t="s">
        <v>62</v>
      </c>
      <c r="K121" s="24" t="s">
        <v>69</v>
      </c>
    </row>
    <row r="122" spans="1:11" x14ac:dyDescent="0.3">
      <c r="A122" s="24" t="s">
        <v>301</v>
      </c>
      <c r="B122" s="25">
        <v>46272</v>
      </c>
      <c r="C122" s="24" t="s">
        <v>302</v>
      </c>
      <c r="D122" s="24" t="s">
        <v>31</v>
      </c>
      <c r="E122" s="26">
        <v>599</v>
      </c>
      <c r="F122" s="24">
        <v>2</v>
      </c>
      <c r="G122" s="26">
        <v>1198</v>
      </c>
      <c r="H122" s="24" t="s">
        <v>117</v>
      </c>
      <c r="I122" s="24" t="s">
        <v>50</v>
      </c>
      <c r="J122" s="24" t="s">
        <v>63</v>
      </c>
      <c r="K122" s="24" t="s">
        <v>67</v>
      </c>
    </row>
    <row r="123" spans="1:11" x14ac:dyDescent="0.3">
      <c r="A123" s="24" t="s">
        <v>303</v>
      </c>
      <c r="B123" s="25">
        <v>46273</v>
      </c>
      <c r="C123" s="24" t="s">
        <v>38</v>
      </c>
      <c r="D123" s="24" t="s">
        <v>28</v>
      </c>
      <c r="E123" s="26">
        <v>2499</v>
      </c>
      <c r="F123" s="24">
        <v>1</v>
      </c>
      <c r="G123" s="26">
        <v>2499</v>
      </c>
      <c r="H123" s="24" t="s">
        <v>109</v>
      </c>
      <c r="I123" s="24" t="s">
        <v>53</v>
      </c>
      <c r="J123" s="24" t="s">
        <v>61</v>
      </c>
      <c r="K123" s="24" t="s">
        <v>67</v>
      </c>
    </row>
    <row r="124" spans="1:11" x14ac:dyDescent="0.3">
      <c r="A124" s="24" t="s">
        <v>304</v>
      </c>
      <c r="B124" s="25">
        <v>46273</v>
      </c>
      <c r="C124" s="24" t="s">
        <v>41</v>
      </c>
      <c r="D124" s="24" t="s">
        <v>31</v>
      </c>
      <c r="E124" s="26">
        <v>1799</v>
      </c>
      <c r="F124" s="24">
        <v>3</v>
      </c>
      <c r="G124" s="26">
        <v>5397</v>
      </c>
      <c r="H124" s="24" t="s">
        <v>128</v>
      </c>
      <c r="I124" s="24" t="s">
        <v>57</v>
      </c>
      <c r="J124" s="24" t="s">
        <v>61</v>
      </c>
      <c r="K124" s="24" t="s">
        <v>67</v>
      </c>
    </row>
    <row r="125" spans="1:11" x14ac:dyDescent="0.3">
      <c r="A125" s="24" t="s">
        <v>305</v>
      </c>
      <c r="B125" s="25">
        <v>46273</v>
      </c>
      <c r="C125" s="24" t="s">
        <v>175</v>
      </c>
      <c r="D125" s="24" t="s">
        <v>28</v>
      </c>
      <c r="E125" s="26">
        <v>2499</v>
      </c>
      <c r="F125" s="24">
        <v>1</v>
      </c>
      <c r="G125" s="26">
        <v>2499</v>
      </c>
      <c r="H125" s="24" t="s">
        <v>94</v>
      </c>
      <c r="I125" s="24" t="s">
        <v>53</v>
      </c>
      <c r="J125" s="24" t="s">
        <v>62</v>
      </c>
      <c r="K125" s="24" t="s">
        <v>69</v>
      </c>
    </row>
    <row r="126" spans="1:11" x14ac:dyDescent="0.3">
      <c r="A126" s="24" t="s">
        <v>306</v>
      </c>
      <c r="B126" s="25">
        <v>46273</v>
      </c>
      <c r="C126" s="24" t="s">
        <v>47</v>
      </c>
      <c r="D126" s="24" t="s">
        <v>32</v>
      </c>
      <c r="E126" s="26">
        <v>699</v>
      </c>
      <c r="F126" s="24">
        <v>1</v>
      </c>
      <c r="G126" s="26">
        <v>699</v>
      </c>
      <c r="H126" s="24" t="s">
        <v>120</v>
      </c>
      <c r="I126" s="24" t="s">
        <v>52</v>
      </c>
      <c r="J126" s="24" t="s">
        <v>62</v>
      </c>
      <c r="K126" s="24" t="s">
        <v>67</v>
      </c>
    </row>
    <row r="127" spans="1:11" x14ac:dyDescent="0.3">
      <c r="A127" s="24" t="s">
        <v>307</v>
      </c>
      <c r="B127" s="25">
        <v>46273</v>
      </c>
      <c r="C127" s="24" t="s">
        <v>41</v>
      </c>
      <c r="D127" s="24" t="s">
        <v>31</v>
      </c>
      <c r="E127" s="26">
        <v>1799</v>
      </c>
      <c r="F127" s="24">
        <v>1</v>
      </c>
      <c r="G127" s="26">
        <v>1799</v>
      </c>
      <c r="H127" s="24" t="s">
        <v>308</v>
      </c>
      <c r="I127" s="24" t="s">
        <v>53</v>
      </c>
      <c r="J127" s="24" t="s">
        <v>64</v>
      </c>
      <c r="K127" s="24" t="s">
        <v>67</v>
      </c>
    </row>
    <row r="128" spans="1:11" x14ac:dyDescent="0.3">
      <c r="A128" s="24" t="s">
        <v>309</v>
      </c>
      <c r="B128" s="25">
        <v>46273</v>
      </c>
      <c r="C128" s="24" t="s">
        <v>43</v>
      </c>
      <c r="D128" s="24" t="s">
        <v>28</v>
      </c>
      <c r="E128" s="26">
        <v>1299</v>
      </c>
      <c r="F128" s="24">
        <v>2</v>
      </c>
      <c r="G128" s="26">
        <v>2598</v>
      </c>
      <c r="H128" s="24" t="s">
        <v>90</v>
      </c>
      <c r="I128" s="24" t="s">
        <v>52</v>
      </c>
      <c r="J128" s="24" t="s">
        <v>62</v>
      </c>
      <c r="K128" s="24" t="s">
        <v>67</v>
      </c>
    </row>
    <row r="129" spans="1:11" x14ac:dyDescent="0.3">
      <c r="A129" s="24" t="s">
        <v>310</v>
      </c>
      <c r="B129" s="25">
        <v>46273</v>
      </c>
      <c r="C129" s="24" t="s">
        <v>44</v>
      </c>
      <c r="D129" s="24" t="s">
        <v>29</v>
      </c>
      <c r="E129" s="26">
        <v>499</v>
      </c>
      <c r="F129" s="24">
        <v>1</v>
      </c>
      <c r="G129" s="26">
        <v>499</v>
      </c>
      <c r="H129" s="24" t="s">
        <v>100</v>
      </c>
      <c r="I129" s="24" t="s">
        <v>54</v>
      </c>
      <c r="J129" s="24" t="s">
        <v>64</v>
      </c>
      <c r="K129" s="24" t="s">
        <v>67</v>
      </c>
    </row>
    <row r="130" spans="1:11" x14ac:dyDescent="0.3">
      <c r="A130" s="24" t="s">
        <v>311</v>
      </c>
      <c r="B130" s="25">
        <v>46273</v>
      </c>
      <c r="C130" s="24" t="s">
        <v>36</v>
      </c>
      <c r="D130" s="24" t="s">
        <v>30</v>
      </c>
      <c r="E130" s="26">
        <v>3299</v>
      </c>
      <c r="F130" s="24">
        <v>1</v>
      </c>
      <c r="G130" s="26">
        <v>3299</v>
      </c>
      <c r="H130" s="24" t="s">
        <v>78</v>
      </c>
      <c r="I130" s="24" t="s">
        <v>53</v>
      </c>
      <c r="J130" s="24" t="s">
        <v>63</v>
      </c>
      <c r="K130" s="24" t="s">
        <v>67</v>
      </c>
    </row>
    <row r="131" spans="1:11" x14ac:dyDescent="0.3">
      <c r="A131" s="24" t="s">
        <v>312</v>
      </c>
      <c r="B131" s="25">
        <v>46273</v>
      </c>
      <c r="C131" s="24" t="s">
        <v>313</v>
      </c>
      <c r="D131" s="24" t="s">
        <v>29</v>
      </c>
      <c r="E131" s="26">
        <v>499</v>
      </c>
      <c r="F131" s="24">
        <v>2</v>
      </c>
      <c r="G131" s="26">
        <v>998</v>
      </c>
      <c r="H131" s="24" t="s">
        <v>104</v>
      </c>
      <c r="I131" s="24" t="s">
        <v>51</v>
      </c>
      <c r="J131" s="24" t="s">
        <v>61</v>
      </c>
      <c r="K131" s="24" t="s">
        <v>67</v>
      </c>
    </row>
    <row r="132" spans="1:11" x14ac:dyDescent="0.3">
      <c r="A132" s="24" t="s">
        <v>314</v>
      </c>
      <c r="B132" s="25">
        <v>46273</v>
      </c>
      <c r="C132" s="24" t="s">
        <v>40</v>
      </c>
      <c r="D132" s="24" t="s">
        <v>30</v>
      </c>
      <c r="E132" s="26">
        <v>2199</v>
      </c>
      <c r="F132" s="24">
        <v>1</v>
      </c>
      <c r="G132" s="26">
        <v>2199</v>
      </c>
      <c r="H132" s="24" t="s">
        <v>86</v>
      </c>
      <c r="I132" s="24" t="s">
        <v>50</v>
      </c>
      <c r="J132" s="24" t="s">
        <v>63</v>
      </c>
      <c r="K132" s="24" t="s">
        <v>67</v>
      </c>
    </row>
    <row r="133" spans="1:11" x14ac:dyDescent="0.3">
      <c r="A133" s="24" t="s">
        <v>315</v>
      </c>
      <c r="B133" s="25">
        <v>46273</v>
      </c>
      <c r="C133" s="24" t="s">
        <v>35</v>
      </c>
      <c r="D133" s="24" t="s">
        <v>28</v>
      </c>
      <c r="E133" s="26">
        <v>4999</v>
      </c>
      <c r="F133" s="24">
        <v>1</v>
      </c>
      <c r="G133" s="26">
        <v>4999</v>
      </c>
      <c r="H133" s="24" t="s">
        <v>316</v>
      </c>
      <c r="I133" s="24" t="s">
        <v>51</v>
      </c>
      <c r="J133" s="24" t="s">
        <v>61</v>
      </c>
      <c r="K133" s="24" t="s">
        <v>67</v>
      </c>
    </row>
    <row r="134" spans="1:11" x14ac:dyDescent="0.3">
      <c r="A134" s="24" t="s">
        <v>317</v>
      </c>
      <c r="B134" s="25">
        <v>46273</v>
      </c>
      <c r="C134" s="24" t="s">
        <v>41</v>
      </c>
      <c r="D134" s="24" t="s">
        <v>31</v>
      </c>
      <c r="E134" s="26">
        <v>1799</v>
      </c>
      <c r="F134" s="24">
        <v>1</v>
      </c>
      <c r="G134" s="26">
        <v>1799</v>
      </c>
      <c r="H134" s="24" t="s">
        <v>99</v>
      </c>
      <c r="I134" s="24" t="s">
        <v>56</v>
      </c>
      <c r="J134" s="24" t="s">
        <v>64</v>
      </c>
      <c r="K134" s="24" t="s">
        <v>67</v>
      </c>
    </row>
    <row r="135" spans="1:11" x14ac:dyDescent="0.3">
      <c r="A135" s="24" t="s">
        <v>318</v>
      </c>
      <c r="B135" s="25">
        <v>46273</v>
      </c>
      <c r="C135" s="24" t="s">
        <v>44</v>
      </c>
      <c r="D135" s="24" t="s">
        <v>29</v>
      </c>
      <c r="E135" s="26">
        <v>499</v>
      </c>
      <c r="F135" s="24">
        <v>1</v>
      </c>
      <c r="G135" s="26">
        <v>499</v>
      </c>
      <c r="H135" s="24" t="s">
        <v>91</v>
      </c>
      <c r="I135" s="24" t="s">
        <v>52</v>
      </c>
      <c r="J135" s="24" t="s">
        <v>61</v>
      </c>
      <c r="K135" s="24" t="s">
        <v>67</v>
      </c>
    </row>
    <row r="136" spans="1:11" x14ac:dyDescent="0.3">
      <c r="A136" s="24" t="s">
        <v>319</v>
      </c>
      <c r="B136" s="25">
        <v>46273</v>
      </c>
      <c r="C136" s="24" t="s">
        <v>35</v>
      </c>
      <c r="D136" s="24" t="s">
        <v>28</v>
      </c>
      <c r="E136" s="26">
        <v>4999</v>
      </c>
      <c r="F136" s="24">
        <v>2</v>
      </c>
      <c r="G136" s="26">
        <v>9998</v>
      </c>
      <c r="H136" s="24" t="s">
        <v>120</v>
      </c>
      <c r="I136" s="24" t="s">
        <v>52</v>
      </c>
      <c r="J136" s="24" t="s">
        <v>61</v>
      </c>
      <c r="K136" s="24" t="s">
        <v>163</v>
      </c>
    </row>
    <row r="137" spans="1:11" x14ac:dyDescent="0.3">
      <c r="A137" s="24" t="s">
        <v>320</v>
      </c>
      <c r="B137" s="25">
        <v>46273</v>
      </c>
      <c r="C137" s="24" t="s">
        <v>43</v>
      </c>
      <c r="D137" s="24" t="s">
        <v>28</v>
      </c>
      <c r="E137" s="26">
        <v>1299</v>
      </c>
      <c r="F137" s="24">
        <v>2</v>
      </c>
      <c r="G137" s="26">
        <v>2598</v>
      </c>
      <c r="H137" s="24" t="s">
        <v>125</v>
      </c>
      <c r="I137" s="24" t="s">
        <v>321</v>
      </c>
      <c r="J137" s="24" t="s">
        <v>62</v>
      </c>
      <c r="K137" s="24" t="s">
        <v>67</v>
      </c>
    </row>
    <row r="138" spans="1:11" x14ac:dyDescent="0.3">
      <c r="A138" s="24" t="s">
        <v>322</v>
      </c>
      <c r="B138" s="25">
        <v>46274</v>
      </c>
      <c r="C138" s="24" t="s">
        <v>42</v>
      </c>
      <c r="D138" s="24" t="s">
        <v>28</v>
      </c>
      <c r="E138" s="26">
        <v>1999</v>
      </c>
      <c r="F138" s="24">
        <v>2</v>
      </c>
      <c r="G138" s="26">
        <v>3998</v>
      </c>
      <c r="H138" s="24" t="s">
        <v>87</v>
      </c>
      <c r="I138" s="24" t="s">
        <v>56</v>
      </c>
      <c r="J138" s="24" t="s">
        <v>63</v>
      </c>
      <c r="K138" s="24" t="s">
        <v>67</v>
      </c>
    </row>
    <row r="139" spans="1:11" x14ac:dyDescent="0.3">
      <c r="A139" s="24" t="s">
        <v>323</v>
      </c>
      <c r="B139" s="25">
        <v>46274</v>
      </c>
      <c r="C139" s="24" t="s">
        <v>38</v>
      </c>
      <c r="D139" s="24" t="s">
        <v>28</v>
      </c>
      <c r="E139" s="26">
        <v>2499</v>
      </c>
      <c r="F139" s="24">
        <v>2</v>
      </c>
      <c r="G139" s="26">
        <v>4998</v>
      </c>
      <c r="H139" s="24" t="s">
        <v>324</v>
      </c>
      <c r="I139" s="24" t="s">
        <v>325</v>
      </c>
      <c r="J139" s="24" t="s">
        <v>61</v>
      </c>
      <c r="K139" s="24" t="s">
        <v>67</v>
      </c>
    </row>
    <row r="140" spans="1:11" x14ac:dyDescent="0.3">
      <c r="A140" s="24" t="s">
        <v>326</v>
      </c>
      <c r="B140" s="25">
        <v>46274</v>
      </c>
      <c r="C140" s="24" t="s">
        <v>46</v>
      </c>
      <c r="D140" s="24" t="s">
        <v>31</v>
      </c>
      <c r="E140" s="26">
        <v>599</v>
      </c>
      <c r="F140" s="24">
        <v>2</v>
      </c>
      <c r="G140" s="26">
        <v>1198</v>
      </c>
      <c r="H140" s="24" t="s">
        <v>77</v>
      </c>
      <c r="I140" s="24" t="s">
        <v>57</v>
      </c>
      <c r="J140" s="24" t="s">
        <v>64</v>
      </c>
      <c r="K140" s="24" t="s">
        <v>67</v>
      </c>
    </row>
    <row r="141" spans="1:11" x14ac:dyDescent="0.3">
      <c r="A141" s="24" t="s">
        <v>327</v>
      </c>
      <c r="B141" s="25">
        <v>46274</v>
      </c>
      <c r="C141" s="24" t="s">
        <v>42</v>
      </c>
      <c r="D141" s="24" t="s">
        <v>28</v>
      </c>
      <c r="E141" s="26">
        <v>1999</v>
      </c>
      <c r="F141" s="24">
        <v>1</v>
      </c>
      <c r="G141" s="26">
        <v>1999</v>
      </c>
      <c r="H141" s="24" t="s">
        <v>328</v>
      </c>
      <c r="I141" s="24" t="s">
        <v>55</v>
      </c>
      <c r="J141" s="24" t="s">
        <v>61</v>
      </c>
      <c r="K141" s="24" t="s">
        <v>68</v>
      </c>
    </row>
    <row r="142" spans="1:11" x14ac:dyDescent="0.3">
      <c r="A142" s="24" t="s">
        <v>329</v>
      </c>
      <c r="B142" s="25">
        <v>46274</v>
      </c>
      <c r="C142" s="24" t="s">
        <v>42</v>
      </c>
      <c r="D142" s="24" t="s">
        <v>28</v>
      </c>
      <c r="E142" s="26">
        <v>1999</v>
      </c>
      <c r="F142" s="24">
        <v>1</v>
      </c>
      <c r="G142" s="26">
        <v>1999</v>
      </c>
      <c r="H142" s="24" t="s">
        <v>330</v>
      </c>
      <c r="I142" s="24" t="s">
        <v>58</v>
      </c>
      <c r="J142" s="24" t="s">
        <v>62</v>
      </c>
      <c r="K142" s="24" t="s">
        <v>163</v>
      </c>
    </row>
    <row r="143" spans="1:11" x14ac:dyDescent="0.3">
      <c r="A143" s="24" t="s">
        <v>331</v>
      </c>
      <c r="B143" s="25">
        <v>46274</v>
      </c>
      <c r="C143" s="24" t="s">
        <v>40</v>
      </c>
      <c r="D143" s="24" t="s">
        <v>30</v>
      </c>
      <c r="E143" s="26">
        <v>2199</v>
      </c>
      <c r="F143" s="24">
        <v>2</v>
      </c>
      <c r="G143" s="26">
        <v>4398</v>
      </c>
      <c r="H143" s="24" t="s">
        <v>131</v>
      </c>
      <c r="I143" s="24" t="s">
        <v>50</v>
      </c>
      <c r="J143" s="24" t="s">
        <v>64</v>
      </c>
      <c r="K143" s="24" t="s">
        <v>67</v>
      </c>
    </row>
    <row r="144" spans="1:11" x14ac:dyDescent="0.3">
      <c r="A144" s="24" t="s">
        <v>332</v>
      </c>
      <c r="B144" s="25">
        <v>46274</v>
      </c>
      <c r="C144" s="24" t="s">
        <v>36</v>
      </c>
      <c r="D144" s="24" t="s">
        <v>30</v>
      </c>
      <c r="E144" s="26">
        <v>3299</v>
      </c>
      <c r="F144" s="24">
        <v>1</v>
      </c>
      <c r="G144" s="26">
        <v>3299</v>
      </c>
      <c r="H144" s="24" t="s">
        <v>80</v>
      </c>
      <c r="I144" s="24" t="s">
        <v>50</v>
      </c>
      <c r="J144" s="24" t="s">
        <v>62</v>
      </c>
      <c r="K144" s="24" t="s">
        <v>67</v>
      </c>
    </row>
    <row r="145" spans="1:11" x14ac:dyDescent="0.3">
      <c r="A145" s="24" t="s">
        <v>333</v>
      </c>
      <c r="B145" s="25">
        <v>46274</v>
      </c>
      <c r="C145" s="24" t="s">
        <v>334</v>
      </c>
      <c r="D145" s="24" t="s">
        <v>29</v>
      </c>
      <c r="E145" s="26">
        <v>499</v>
      </c>
      <c r="F145" s="24">
        <v>3</v>
      </c>
      <c r="G145" s="26">
        <v>1497</v>
      </c>
      <c r="H145" s="24" t="s">
        <v>73</v>
      </c>
      <c r="I145" s="24" t="s">
        <v>54</v>
      </c>
      <c r="J145" s="24" t="s">
        <v>61</v>
      </c>
      <c r="K145" s="24" t="s">
        <v>67</v>
      </c>
    </row>
    <row r="146" spans="1:11" x14ac:dyDescent="0.3">
      <c r="A146" s="24" t="s">
        <v>335</v>
      </c>
      <c r="B146" s="25">
        <v>46274</v>
      </c>
      <c r="C146" s="24" t="s">
        <v>48</v>
      </c>
      <c r="D146" s="24" t="s">
        <v>32</v>
      </c>
      <c r="E146" s="26">
        <v>399</v>
      </c>
      <c r="F146" s="24">
        <v>3</v>
      </c>
      <c r="G146" s="26">
        <v>1197</v>
      </c>
      <c r="H146" s="24" t="s">
        <v>93</v>
      </c>
      <c r="I146" s="24" t="s">
        <v>55</v>
      </c>
      <c r="J146" s="24" t="s">
        <v>61</v>
      </c>
      <c r="K146" s="24" t="s">
        <v>67</v>
      </c>
    </row>
    <row r="147" spans="1:11" x14ac:dyDescent="0.3">
      <c r="A147" s="24" t="s">
        <v>336</v>
      </c>
      <c r="B147" s="25">
        <v>46274</v>
      </c>
      <c r="C147" s="24" t="s">
        <v>45</v>
      </c>
      <c r="D147" s="24" t="s">
        <v>30</v>
      </c>
      <c r="E147" s="26">
        <v>899</v>
      </c>
      <c r="F147" s="24">
        <v>3</v>
      </c>
      <c r="G147" s="26">
        <v>2697</v>
      </c>
      <c r="H147" s="24" t="s">
        <v>79</v>
      </c>
      <c r="I147" s="24" t="s">
        <v>50</v>
      </c>
      <c r="J147" s="24" t="s">
        <v>64</v>
      </c>
      <c r="K147" s="24" t="s">
        <v>67</v>
      </c>
    </row>
    <row r="148" spans="1:11" x14ac:dyDescent="0.3">
      <c r="A148" s="24" t="s">
        <v>337</v>
      </c>
      <c r="B148" s="25">
        <v>46274</v>
      </c>
      <c r="C148" s="24" t="s">
        <v>175</v>
      </c>
      <c r="D148" s="24" t="s">
        <v>28</v>
      </c>
      <c r="E148" s="26">
        <v>2499</v>
      </c>
      <c r="F148" s="24">
        <v>2</v>
      </c>
      <c r="G148" s="26">
        <v>4998</v>
      </c>
      <c r="H148" s="24" t="s">
        <v>108</v>
      </c>
      <c r="I148" s="24" t="s">
        <v>53</v>
      </c>
      <c r="J148" s="24" t="s">
        <v>62</v>
      </c>
      <c r="K148" s="24" t="s">
        <v>69</v>
      </c>
    </row>
    <row r="149" spans="1:11" x14ac:dyDescent="0.3">
      <c r="A149" s="24" t="s">
        <v>338</v>
      </c>
      <c r="B149" s="25">
        <v>46274</v>
      </c>
      <c r="C149" s="24" t="s">
        <v>40</v>
      </c>
      <c r="D149" s="24" t="s">
        <v>30</v>
      </c>
      <c r="E149" s="26">
        <v>2199</v>
      </c>
      <c r="F149" s="24">
        <v>1</v>
      </c>
      <c r="G149" s="26">
        <v>2199</v>
      </c>
      <c r="H149" s="24" t="s">
        <v>107</v>
      </c>
      <c r="I149" s="24" t="s">
        <v>52</v>
      </c>
      <c r="J149" s="24" t="s">
        <v>64</v>
      </c>
      <c r="K149" s="24" t="s">
        <v>67</v>
      </c>
    </row>
    <row r="150" spans="1:11" x14ac:dyDescent="0.3">
      <c r="A150" s="24" t="s">
        <v>339</v>
      </c>
      <c r="B150" s="25">
        <v>46274</v>
      </c>
      <c r="C150" s="24" t="s">
        <v>43</v>
      </c>
      <c r="D150" s="24" t="s">
        <v>28</v>
      </c>
      <c r="E150" s="26">
        <v>1299</v>
      </c>
      <c r="F150" s="24">
        <v>1</v>
      </c>
      <c r="G150" s="26">
        <v>1299</v>
      </c>
      <c r="H150" s="24" t="s">
        <v>120</v>
      </c>
      <c r="I150" s="24" t="s">
        <v>52</v>
      </c>
      <c r="J150" s="24" t="s">
        <v>65</v>
      </c>
      <c r="K150" s="24" t="s">
        <v>67</v>
      </c>
    </row>
    <row r="151" spans="1:11" x14ac:dyDescent="0.3">
      <c r="A151" s="24" t="s">
        <v>340</v>
      </c>
      <c r="B151" s="25">
        <v>46274</v>
      </c>
      <c r="C151" s="24" t="s">
        <v>39</v>
      </c>
      <c r="D151" s="24" t="s">
        <v>29</v>
      </c>
      <c r="E151" s="26">
        <v>5999</v>
      </c>
      <c r="F151" s="24">
        <v>2</v>
      </c>
      <c r="G151" s="26">
        <v>11998</v>
      </c>
      <c r="H151" s="24" t="s">
        <v>341</v>
      </c>
      <c r="I151" s="24" t="s">
        <v>51</v>
      </c>
      <c r="J151" s="24" t="s">
        <v>61</v>
      </c>
      <c r="K151" s="24" t="s">
        <v>67</v>
      </c>
    </row>
    <row r="152" spans="1:11" x14ac:dyDescent="0.3">
      <c r="A152" s="24" t="s">
        <v>342</v>
      </c>
      <c r="B152" s="25">
        <v>46274</v>
      </c>
      <c r="C152" s="24" t="s">
        <v>46</v>
      </c>
      <c r="D152" s="24" t="s">
        <v>31</v>
      </c>
      <c r="E152" s="26">
        <v>599</v>
      </c>
      <c r="F152" s="24">
        <v>2</v>
      </c>
      <c r="G152" s="26">
        <v>1198</v>
      </c>
      <c r="H152" s="24" t="s">
        <v>343</v>
      </c>
      <c r="I152" s="24" t="s">
        <v>54</v>
      </c>
      <c r="J152" s="24" t="s">
        <v>63</v>
      </c>
      <c r="K152" s="24" t="s">
        <v>67</v>
      </c>
    </row>
    <row r="153" spans="1:11" x14ac:dyDescent="0.3">
      <c r="A153" s="24" t="s">
        <v>344</v>
      </c>
      <c r="B153" s="25">
        <v>46275</v>
      </c>
      <c r="C153" s="24" t="s">
        <v>47</v>
      </c>
      <c r="D153" s="24" t="s">
        <v>32</v>
      </c>
      <c r="E153" s="26">
        <v>699</v>
      </c>
      <c r="F153" s="24">
        <v>2</v>
      </c>
      <c r="G153" s="26">
        <v>1398</v>
      </c>
      <c r="H153" s="24" t="s">
        <v>117</v>
      </c>
      <c r="I153" s="24" t="s">
        <v>50</v>
      </c>
      <c r="J153" s="24" t="s">
        <v>63</v>
      </c>
      <c r="K153" s="24" t="s">
        <v>67</v>
      </c>
    </row>
    <row r="154" spans="1:11" x14ac:dyDescent="0.3">
      <c r="A154" s="24" t="s">
        <v>345</v>
      </c>
      <c r="B154" s="25">
        <v>46275</v>
      </c>
      <c r="C154" s="24" t="s">
        <v>45</v>
      </c>
      <c r="D154" s="24" t="s">
        <v>30</v>
      </c>
      <c r="E154" s="26">
        <v>899</v>
      </c>
      <c r="F154" s="24">
        <v>2</v>
      </c>
      <c r="G154" s="26">
        <v>1798</v>
      </c>
      <c r="H154" s="24" t="s">
        <v>77</v>
      </c>
      <c r="I154" s="24" t="s">
        <v>346</v>
      </c>
      <c r="J154" s="24" t="s">
        <v>61</v>
      </c>
      <c r="K154" s="24" t="s">
        <v>67</v>
      </c>
    </row>
    <row r="155" spans="1:11" x14ac:dyDescent="0.3">
      <c r="A155" s="24" t="s">
        <v>347</v>
      </c>
      <c r="B155" s="25">
        <v>46275</v>
      </c>
      <c r="C155" s="24" t="s">
        <v>37</v>
      </c>
      <c r="D155" s="24" t="s">
        <v>29</v>
      </c>
      <c r="E155" s="26">
        <v>3499</v>
      </c>
      <c r="F155" s="24">
        <v>1</v>
      </c>
      <c r="G155" s="26">
        <v>3499</v>
      </c>
      <c r="H155" s="24" t="s">
        <v>86</v>
      </c>
      <c r="I155" s="24" t="s">
        <v>50</v>
      </c>
      <c r="J155" s="24" t="s">
        <v>62</v>
      </c>
      <c r="K155" s="24" t="s">
        <v>67</v>
      </c>
    </row>
    <row r="156" spans="1:11" x14ac:dyDescent="0.3">
      <c r="A156" s="24" t="s">
        <v>348</v>
      </c>
      <c r="B156" s="25">
        <v>46275</v>
      </c>
      <c r="C156" s="24" t="s">
        <v>42</v>
      </c>
      <c r="D156" s="24" t="s">
        <v>28</v>
      </c>
      <c r="E156" s="26">
        <v>1999</v>
      </c>
      <c r="F156" s="24">
        <v>1</v>
      </c>
      <c r="G156" s="26">
        <v>1999</v>
      </c>
      <c r="H156" s="24" t="s">
        <v>103</v>
      </c>
      <c r="I156" s="24" t="s">
        <v>58</v>
      </c>
      <c r="J156" s="24" t="s">
        <v>62</v>
      </c>
      <c r="K156" s="24" t="s">
        <v>67</v>
      </c>
    </row>
    <row r="157" spans="1:11" x14ac:dyDescent="0.3">
      <c r="A157" s="24" t="s">
        <v>349</v>
      </c>
      <c r="B157" s="25">
        <v>46275</v>
      </c>
      <c r="C157" s="24" t="s">
        <v>199</v>
      </c>
      <c r="D157" s="24" t="s">
        <v>32</v>
      </c>
      <c r="E157" s="26">
        <v>399</v>
      </c>
      <c r="F157" s="24">
        <v>1</v>
      </c>
      <c r="G157" s="26">
        <v>399</v>
      </c>
      <c r="H157" s="24" t="s">
        <v>350</v>
      </c>
      <c r="I157" s="24" t="s">
        <v>351</v>
      </c>
      <c r="J157" s="24" t="s">
        <v>62</v>
      </c>
      <c r="K157" s="24" t="s">
        <v>69</v>
      </c>
    </row>
    <row r="158" spans="1:11" x14ac:dyDescent="0.3">
      <c r="A158" s="24" t="s">
        <v>352</v>
      </c>
      <c r="B158" s="25">
        <v>46275</v>
      </c>
      <c r="C158" s="24" t="s">
        <v>36</v>
      </c>
      <c r="D158" s="24" t="s">
        <v>30</v>
      </c>
      <c r="E158" s="26">
        <v>3299</v>
      </c>
      <c r="F158" s="24">
        <v>1</v>
      </c>
      <c r="G158" s="26">
        <v>3299</v>
      </c>
      <c r="H158" s="24" t="s">
        <v>116</v>
      </c>
      <c r="I158" s="24" t="s">
        <v>54</v>
      </c>
      <c r="J158" s="24" t="s">
        <v>61</v>
      </c>
      <c r="K158" s="24" t="s">
        <v>69</v>
      </c>
    </row>
    <row r="159" spans="1:11" x14ac:dyDescent="0.3">
      <c r="A159" s="24" t="s">
        <v>353</v>
      </c>
      <c r="B159" s="25">
        <v>46275</v>
      </c>
      <c r="C159" s="24" t="s">
        <v>354</v>
      </c>
      <c r="D159" s="24" t="s">
        <v>28</v>
      </c>
      <c r="E159" s="26">
        <v>4999</v>
      </c>
      <c r="F159" s="24">
        <v>1</v>
      </c>
      <c r="G159" s="26">
        <v>4999</v>
      </c>
      <c r="H159" s="24" t="s">
        <v>74</v>
      </c>
      <c r="I159" s="24" t="s">
        <v>50</v>
      </c>
      <c r="J159" s="24" t="s">
        <v>65</v>
      </c>
      <c r="K159" s="24" t="s">
        <v>67</v>
      </c>
    </row>
    <row r="160" spans="1:11" x14ac:dyDescent="0.3">
      <c r="A160" s="24" t="s">
        <v>355</v>
      </c>
      <c r="B160" s="25">
        <v>46275</v>
      </c>
      <c r="C160" s="24" t="s">
        <v>37</v>
      </c>
      <c r="D160" s="24" t="s">
        <v>29</v>
      </c>
      <c r="E160" s="26">
        <v>3499</v>
      </c>
      <c r="F160" s="24">
        <v>1</v>
      </c>
      <c r="G160" s="26">
        <v>3499</v>
      </c>
      <c r="H160" s="24" t="s">
        <v>94</v>
      </c>
      <c r="I160" s="24" t="s">
        <v>53</v>
      </c>
      <c r="J160" s="24" t="s">
        <v>65</v>
      </c>
      <c r="K160" s="24" t="s">
        <v>67</v>
      </c>
    </row>
    <row r="161" spans="1:11" x14ac:dyDescent="0.3">
      <c r="A161" s="24" t="s">
        <v>356</v>
      </c>
      <c r="B161" s="25">
        <v>46275</v>
      </c>
      <c r="C161" s="24" t="s">
        <v>40</v>
      </c>
      <c r="D161" s="24" t="s">
        <v>30</v>
      </c>
      <c r="E161" s="26">
        <v>2199</v>
      </c>
      <c r="F161" s="24">
        <v>1</v>
      </c>
      <c r="G161" s="26">
        <v>2199</v>
      </c>
      <c r="H161" s="24" t="s">
        <v>77</v>
      </c>
      <c r="I161" s="24" t="s">
        <v>57</v>
      </c>
      <c r="J161" s="24" t="s">
        <v>63</v>
      </c>
      <c r="K161" s="24" t="s">
        <v>67</v>
      </c>
    </row>
    <row r="162" spans="1:11" x14ac:dyDescent="0.3">
      <c r="A162" s="24" t="s">
        <v>357</v>
      </c>
      <c r="B162" s="25">
        <v>46275</v>
      </c>
      <c r="C162" s="24" t="s">
        <v>47</v>
      </c>
      <c r="D162" s="24" t="s">
        <v>32</v>
      </c>
      <c r="E162" s="26">
        <v>699</v>
      </c>
      <c r="F162" s="24">
        <v>1</v>
      </c>
      <c r="G162" s="26">
        <v>699</v>
      </c>
      <c r="H162" s="24" t="s">
        <v>79</v>
      </c>
      <c r="I162" s="24" t="s">
        <v>50</v>
      </c>
      <c r="J162" s="24" t="s">
        <v>61</v>
      </c>
      <c r="K162" s="24" t="s">
        <v>67</v>
      </c>
    </row>
    <row r="163" spans="1:11" x14ac:dyDescent="0.3">
      <c r="A163" s="24" t="s">
        <v>358</v>
      </c>
      <c r="B163" s="25">
        <v>46275</v>
      </c>
      <c r="C163" s="24" t="s">
        <v>42</v>
      </c>
      <c r="D163" s="24" t="s">
        <v>28</v>
      </c>
      <c r="E163" s="26">
        <v>1999</v>
      </c>
      <c r="F163" s="24">
        <v>1</v>
      </c>
      <c r="G163" s="26">
        <v>1999</v>
      </c>
      <c r="H163" s="24" t="s">
        <v>131</v>
      </c>
      <c r="I163" s="24" t="s">
        <v>232</v>
      </c>
      <c r="J163" s="24" t="s">
        <v>63</v>
      </c>
      <c r="K163" s="24" t="s">
        <v>163</v>
      </c>
    </row>
    <row r="164" spans="1:11" x14ac:dyDescent="0.3">
      <c r="A164" s="24" t="s">
        <v>359</v>
      </c>
      <c r="B164" s="25">
        <v>46275</v>
      </c>
      <c r="C164" s="24" t="s">
        <v>360</v>
      </c>
      <c r="D164" s="24" t="s">
        <v>30</v>
      </c>
      <c r="E164" s="26">
        <v>2199</v>
      </c>
      <c r="F164" s="24">
        <v>2</v>
      </c>
      <c r="G164" s="26">
        <v>4398</v>
      </c>
      <c r="H164" s="24" t="s">
        <v>125</v>
      </c>
      <c r="I164" s="24" t="s">
        <v>361</v>
      </c>
      <c r="J164" s="24" t="s">
        <v>63</v>
      </c>
      <c r="K164" s="24" t="s">
        <v>67</v>
      </c>
    </row>
    <row r="165" spans="1:11" x14ac:dyDescent="0.3">
      <c r="A165" s="24" t="s">
        <v>362</v>
      </c>
      <c r="B165" s="25">
        <v>46275</v>
      </c>
      <c r="C165" s="24" t="s">
        <v>45</v>
      </c>
      <c r="D165" s="24" t="s">
        <v>30</v>
      </c>
      <c r="E165" s="26">
        <v>899</v>
      </c>
      <c r="F165" s="24">
        <v>1</v>
      </c>
      <c r="G165" s="26">
        <v>899</v>
      </c>
      <c r="H165" s="24" t="s">
        <v>108</v>
      </c>
      <c r="I165" s="24" t="s">
        <v>53</v>
      </c>
      <c r="J165" s="24" t="s">
        <v>63</v>
      </c>
      <c r="K165" s="24" t="s">
        <v>67</v>
      </c>
    </row>
    <row r="166" spans="1:11" x14ac:dyDescent="0.3">
      <c r="A166" s="24" t="s">
        <v>363</v>
      </c>
      <c r="B166" s="25">
        <v>46275</v>
      </c>
      <c r="C166" s="24" t="s">
        <v>41</v>
      </c>
      <c r="D166" s="24" t="s">
        <v>31</v>
      </c>
      <c r="E166" s="26">
        <v>1799</v>
      </c>
      <c r="F166" s="24">
        <v>4</v>
      </c>
      <c r="G166" s="26">
        <v>7196</v>
      </c>
      <c r="H166" s="24" t="s">
        <v>131</v>
      </c>
      <c r="I166" s="24" t="s">
        <v>50</v>
      </c>
      <c r="J166" s="24" t="s">
        <v>64</v>
      </c>
      <c r="K166" s="24" t="s">
        <v>67</v>
      </c>
    </row>
    <row r="167" spans="1:11" x14ac:dyDescent="0.3">
      <c r="A167" s="24" t="s">
        <v>363</v>
      </c>
      <c r="B167" s="25">
        <v>46275</v>
      </c>
      <c r="C167" s="24" t="s">
        <v>41</v>
      </c>
      <c r="D167" s="24" t="s">
        <v>31</v>
      </c>
      <c r="E167" s="26">
        <v>1799</v>
      </c>
      <c r="F167" s="24">
        <v>4</v>
      </c>
      <c r="G167" s="26">
        <v>7196</v>
      </c>
      <c r="H167" s="24" t="s">
        <v>131</v>
      </c>
      <c r="I167" s="24" t="s">
        <v>50</v>
      </c>
      <c r="J167" s="24" t="s">
        <v>64</v>
      </c>
      <c r="K167" s="24" t="s">
        <v>67</v>
      </c>
    </row>
    <row r="168" spans="1:11" x14ac:dyDescent="0.3">
      <c r="A168" s="24" t="s">
        <v>364</v>
      </c>
      <c r="B168" s="25">
        <v>46275</v>
      </c>
      <c r="C168" s="24" t="s">
        <v>37</v>
      </c>
      <c r="D168" s="24" t="s">
        <v>29</v>
      </c>
      <c r="E168" s="26">
        <v>3499</v>
      </c>
      <c r="F168" s="24">
        <v>1</v>
      </c>
      <c r="G168" s="26">
        <v>3499</v>
      </c>
      <c r="H168" s="24" t="s">
        <v>93</v>
      </c>
      <c r="I168" s="24" t="s">
        <v>55</v>
      </c>
      <c r="J168" s="24" t="s">
        <v>63</v>
      </c>
      <c r="K168" s="24" t="s">
        <v>67</v>
      </c>
    </row>
    <row r="169" spans="1:11" x14ac:dyDescent="0.3">
      <c r="A169" s="24" t="s">
        <v>365</v>
      </c>
      <c r="B169" s="25">
        <v>46275</v>
      </c>
      <c r="C169" s="24" t="s">
        <v>42</v>
      </c>
      <c r="D169" s="24" t="s">
        <v>28</v>
      </c>
      <c r="E169" s="26">
        <v>1999</v>
      </c>
      <c r="F169" s="24">
        <v>1</v>
      </c>
      <c r="G169" s="26">
        <v>1999</v>
      </c>
      <c r="H169" s="24" t="s">
        <v>73</v>
      </c>
      <c r="I169" s="24" t="s">
        <v>54</v>
      </c>
      <c r="J169" s="24" t="s">
        <v>63</v>
      </c>
      <c r="K169" s="24" t="s">
        <v>67</v>
      </c>
    </row>
    <row r="170" spans="1:11" x14ac:dyDescent="0.3">
      <c r="A170" s="24" t="s">
        <v>366</v>
      </c>
      <c r="B170" s="25">
        <v>46275</v>
      </c>
      <c r="C170" s="24" t="s">
        <v>41</v>
      </c>
      <c r="D170" s="24" t="s">
        <v>31</v>
      </c>
      <c r="E170" s="26">
        <v>1799</v>
      </c>
      <c r="F170" s="24">
        <v>1</v>
      </c>
      <c r="G170" s="26">
        <v>1799</v>
      </c>
      <c r="H170" s="24" t="s">
        <v>98</v>
      </c>
      <c r="I170" s="24" t="s">
        <v>51</v>
      </c>
      <c r="J170" s="24" t="s">
        <v>61</v>
      </c>
      <c r="K170" s="24" t="s">
        <v>67</v>
      </c>
    </row>
    <row r="171" spans="1:11" x14ac:dyDescent="0.3">
      <c r="A171" s="24" t="s">
        <v>367</v>
      </c>
      <c r="B171" s="25">
        <v>46275</v>
      </c>
      <c r="C171" s="24" t="s">
        <v>37</v>
      </c>
      <c r="D171" s="24" t="s">
        <v>29</v>
      </c>
      <c r="E171" s="26">
        <v>3499</v>
      </c>
      <c r="F171" s="24">
        <v>4</v>
      </c>
      <c r="G171" s="26">
        <v>13996</v>
      </c>
      <c r="H171" s="24" t="s">
        <v>368</v>
      </c>
      <c r="I171" s="24" t="s">
        <v>369</v>
      </c>
      <c r="J171" s="24" t="s">
        <v>62</v>
      </c>
      <c r="K171" s="24" t="s">
        <v>69</v>
      </c>
    </row>
    <row r="172" spans="1:11" x14ac:dyDescent="0.3">
      <c r="A172" s="24" t="s">
        <v>370</v>
      </c>
      <c r="B172" s="25">
        <v>46275</v>
      </c>
      <c r="C172" s="24" t="s">
        <v>36</v>
      </c>
      <c r="D172" s="24" t="s">
        <v>30</v>
      </c>
      <c r="E172" s="26">
        <v>3299</v>
      </c>
      <c r="F172" s="24">
        <v>4</v>
      </c>
      <c r="G172" s="26">
        <v>13196</v>
      </c>
      <c r="H172" s="24" t="s">
        <v>92</v>
      </c>
      <c r="I172" s="24" t="s">
        <v>51</v>
      </c>
      <c r="J172" s="24" t="s">
        <v>62</v>
      </c>
      <c r="K172" s="24" t="s">
        <v>67</v>
      </c>
    </row>
    <row r="173" spans="1:11" x14ac:dyDescent="0.3">
      <c r="A173" s="24" t="s">
        <v>371</v>
      </c>
      <c r="B173" s="25">
        <v>46275</v>
      </c>
      <c r="C173" s="24" t="s">
        <v>37</v>
      </c>
      <c r="D173" s="24" t="s">
        <v>29</v>
      </c>
      <c r="E173" s="26">
        <v>3499</v>
      </c>
      <c r="F173" s="24">
        <v>1</v>
      </c>
      <c r="G173" s="26">
        <v>3499</v>
      </c>
      <c r="H173" s="24" t="s">
        <v>97</v>
      </c>
      <c r="I173" s="24" t="s">
        <v>372</v>
      </c>
      <c r="J173" s="24" t="s">
        <v>62</v>
      </c>
      <c r="K173" s="24" t="s">
        <v>69</v>
      </c>
    </row>
    <row r="174" spans="1:11" x14ac:dyDescent="0.3">
      <c r="A174" s="24" t="s">
        <v>373</v>
      </c>
      <c r="B174" s="25">
        <v>46276</v>
      </c>
      <c r="C174" s="24" t="s">
        <v>43</v>
      </c>
      <c r="D174" s="24" t="s">
        <v>28</v>
      </c>
      <c r="E174" s="26">
        <v>1299</v>
      </c>
      <c r="F174" s="24">
        <v>1</v>
      </c>
      <c r="G174" s="26">
        <v>1299</v>
      </c>
      <c r="H174" s="24" t="s">
        <v>98</v>
      </c>
      <c r="I174" s="24" t="s">
        <v>51</v>
      </c>
      <c r="J174" s="24" t="s">
        <v>63</v>
      </c>
      <c r="K174" s="24" t="s">
        <v>67</v>
      </c>
    </row>
    <row r="175" spans="1:11" x14ac:dyDescent="0.3">
      <c r="A175" s="24" t="s">
        <v>374</v>
      </c>
      <c r="B175" s="25">
        <v>46276</v>
      </c>
      <c r="C175" s="24" t="s">
        <v>375</v>
      </c>
      <c r="D175" s="24" t="s">
        <v>30</v>
      </c>
      <c r="E175" s="26">
        <v>899</v>
      </c>
      <c r="F175" s="24">
        <v>2</v>
      </c>
      <c r="G175" s="26">
        <v>1798</v>
      </c>
      <c r="H175" s="24" t="s">
        <v>96</v>
      </c>
      <c r="I175" s="24" t="s">
        <v>53</v>
      </c>
      <c r="J175" s="24" t="s">
        <v>61</v>
      </c>
      <c r="K175" s="24" t="s">
        <v>69</v>
      </c>
    </row>
    <row r="176" spans="1:11" x14ac:dyDescent="0.3">
      <c r="A176" s="24" t="s">
        <v>376</v>
      </c>
      <c r="B176" s="25">
        <v>46276</v>
      </c>
      <c r="C176" s="24" t="s">
        <v>41</v>
      </c>
      <c r="D176" s="24" t="s">
        <v>31</v>
      </c>
      <c r="E176" s="26">
        <v>1799</v>
      </c>
      <c r="F176" s="24">
        <v>1</v>
      </c>
      <c r="G176" s="26">
        <v>1799</v>
      </c>
      <c r="H176" s="24" t="s">
        <v>98</v>
      </c>
      <c r="I176" s="24" t="s">
        <v>51</v>
      </c>
      <c r="J176" s="24" t="s">
        <v>61</v>
      </c>
      <c r="K176" s="24" t="s">
        <v>67</v>
      </c>
    </row>
    <row r="177" spans="1:11" x14ac:dyDescent="0.3">
      <c r="A177" s="24" t="s">
        <v>377</v>
      </c>
      <c r="B177" s="25">
        <v>46276</v>
      </c>
      <c r="C177" s="24" t="s">
        <v>47</v>
      </c>
      <c r="D177" s="24" t="s">
        <v>32</v>
      </c>
      <c r="E177" s="26">
        <v>699</v>
      </c>
      <c r="F177" s="24">
        <v>1</v>
      </c>
      <c r="G177" s="26">
        <v>699</v>
      </c>
      <c r="H177" s="24" t="s">
        <v>77</v>
      </c>
      <c r="I177" s="24" t="s">
        <v>57</v>
      </c>
      <c r="J177" s="24" t="s">
        <v>61</v>
      </c>
      <c r="K177" s="24" t="s">
        <v>67</v>
      </c>
    </row>
    <row r="178" spans="1:11" x14ac:dyDescent="0.3">
      <c r="A178" s="24" t="s">
        <v>378</v>
      </c>
      <c r="B178" s="25">
        <v>46276</v>
      </c>
      <c r="C178" s="24" t="s">
        <v>379</v>
      </c>
      <c r="D178" s="24" t="s">
        <v>28</v>
      </c>
      <c r="E178" s="26">
        <v>2499</v>
      </c>
      <c r="F178" s="24">
        <v>2</v>
      </c>
      <c r="G178" s="26">
        <v>4998</v>
      </c>
      <c r="H178" s="24" t="s">
        <v>88</v>
      </c>
      <c r="I178" s="24" t="s">
        <v>53</v>
      </c>
      <c r="J178" s="24" t="s">
        <v>62</v>
      </c>
      <c r="K178" s="24" t="s">
        <v>67</v>
      </c>
    </row>
    <row r="179" spans="1:11" x14ac:dyDescent="0.3">
      <c r="A179" s="24" t="s">
        <v>380</v>
      </c>
      <c r="B179" s="25">
        <v>46276</v>
      </c>
      <c r="C179" s="24" t="s">
        <v>38</v>
      </c>
      <c r="D179" s="24" t="s">
        <v>28</v>
      </c>
      <c r="E179" s="26">
        <v>2499</v>
      </c>
      <c r="F179" s="24">
        <v>4</v>
      </c>
      <c r="G179" s="26">
        <v>9996</v>
      </c>
      <c r="H179" s="24" t="s">
        <v>107</v>
      </c>
      <c r="I179" s="24" t="s">
        <v>52</v>
      </c>
      <c r="J179" s="24" t="s">
        <v>62</v>
      </c>
      <c r="K179" s="24" t="s">
        <v>67</v>
      </c>
    </row>
    <row r="180" spans="1:11" x14ac:dyDescent="0.3">
      <c r="A180" s="24" t="s">
        <v>381</v>
      </c>
      <c r="B180" s="25">
        <v>46276</v>
      </c>
      <c r="C180" s="24" t="s">
        <v>38</v>
      </c>
      <c r="D180" s="24" t="s">
        <v>28</v>
      </c>
      <c r="E180" s="26">
        <v>2499</v>
      </c>
      <c r="F180" s="24">
        <v>3</v>
      </c>
      <c r="G180" s="26">
        <v>7497</v>
      </c>
      <c r="H180" s="24" t="s">
        <v>119</v>
      </c>
      <c r="I180" s="24" t="s">
        <v>51</v>
      </c>
      <c r="J180" s="24" t="s">
        <v>61</v>
      </c>
      <c r="K180" s="24" t="s">
        <v>69</v>
      </c>
    </row>
    <row r="181" spans="1:11" x14ac:dyDescent="0.3">
      <c r="A181" s="24" t="s">
        <v>382</v>
      </c>
      <c r="B181" s="25">
        <v>46276</v>
      </c>
      <c r="C181" s="24" t="s">
        <v>36</v>
      </c>
      <c r="D181" s="24" t="s">
        <v>30</v>
      </c>
      <c r="E181" s="26">
        <v>3299</v>
      </c>
      <c r="F181" s="24">
        <v>1</v>
      </c>
      <c r="G181" s="26">
        <v>3299</v>
      </c>
      <c r="H181" s="24" t="s">
        <v>106</v>
      </c>
      <c r="I181" s="24" t="s">
        <v>51</v>
      </c>
      <c r="J181" s="24" t="s">
        <v>64</v>
      </c>
      <c r="K181" s="24" t="s">
        <v>67</v>
      </c>
    </row>
    <row r="182" spans="1:11" x14ac:dyDescent="0.3">
      <c r="A182" s="24" t="s">
        <v>383</v>
      </c>
      <c r="B182" s="25">
        <v>46276</v>
      </c>
      <c r="C182" s="24" t="s">
        <v>37</v>
      </c>
      <c r="D182" s="24" t="s">
        <v>29</v>
      </c>
      <c r="E182" s="26">
        <v>3499</v>
      </c>
      <c r="F182" s="24">
        <v>1</v>
      </c>
      <c r="G182" s="26">
        <v>3499</v>
      </c>
      <c r="H182" s="24" t="s">
        <v>117</v>
      </c>
      <c r="I182" s="24" t="s">
        <v>50</v>
      </c>
      <c r="J182" s="24" t="s">
        <v>62</v>
      </c>
      <c r="K182" s="24" t="s">
        <v>69</v>
      </c>
    </row>
    <row r="183" spans="1:11" x14ac:dyDescent="0.3">
      <c r="A183" s="24" t="s">
        <v>384</v>
      </c>
      <c r="B183" s="25">
        <v>46276</v>
      </c>
      <c r="C183" s="24" t="s">
        <v>38</v>
      </c>
      <c r="D183" s="24" t="s">
        <v>28</v>
      </c>
      <c r="E183" s="26">
        <v>2499</v>
      </c>
      <c r="F183" s="24">
        <v>1</v>
      </c>
      <c r="G183" s="26">
        <v>2499</v>
      </c>
      <c r="H183" s="24" t="s">
        <v>117</v>
      </c>
      <c r="I183" s="24" t="s">
        <v>50</v>
      </c>
      <c r="J183" s="24" t="s">
        <v>64</v>
      </c>
      <c r="K183" s="24" t="s">
        <v>67</v>
      </c>
    </row>
    <row r="184" spans="1:11" x14ac:dyDescent="0.3">
      <c r="A184" s="24" t="s">
        <v>385</v>
      </c>
      <c r="B184" s="25">
        <v>46276</v>
      </c>
      <c r="C184" s="24" t="s">
        <v>35</v>
      </c>
      <c r="D184" s="24" t="s">
        <v>28</v>
      </c>
      <c r="E184" s="26">
        <v>4999</v>
      </c>
      <c r="F184" s="24">
        <v>3</v>
      </c>
      <c r="G184" s="26">
        <v>14997</v>
      </c>
      <c r="H184" s="24" t="s">
        <v>80</v>
      </c>
      <c r="I184" s="24" t="s">
        <v>50</v>
      </c>
      <c r="J184" s="24" t="s">
        <v>65</v>
      </c>
      <c r="K184" s="24" t="s">
        <v>67</v>
      </c>
    </row>
    <row r="185" spans="1:11" x14ac:dyDescent="0.3">
      <c r="A185" s="24" t="s">
        <v>386</v>
      </c>
      <c r="B185" s="25">
        <v>46276</v>
      </c>
      <c r="C185" s="24" t="s">
        <v>44</v>
      </c>
      <c r="D185" s="24" t="s">
        <v>29</v>
      </c>
      <c r="E185" s="26">
        <v>499</v>
      </c>
      <c r="F185" s="24">
        <v>1</v>
      </c>
      <c r="G185" s="26">
        <v>499</v>
      </c>
      <c r="H185" s="24" t="s">
        <v>98</v>
      </c>
      <c r="I185" s="24" t="s">
        <v>51</v>
      </c>
      <c r="J185" s="24" t="s">
        <v>62</v>
      </c>
      <c r="K185" s="24" t="s">
        <v>67</v>
      </c>
    </row>
    <row r="186" spans="1:11" x14ac:dyDescent="0.3">
      <c r="A186" s="24" t="s">
        <v>387</v>
      </c>
      <c r="B186" s="25">
        <v>46276</v>
      </c>
      <c r="C186" s="24" t="s">
        <v>37</v>
      </c>
      <c r="D186" s="24" t="s">
        <v>29</v>
      </c>
      <c r="E186" s="26">
        <v>3499</v>
      </c>
      <c r="F186" s="24">
        <v>2</v>
      </c>
      <c r="G186" s="26">
        <v>6998</v>
      </c>
      <c r="H186" s="24" t="s">
        <v>124</v>
      </c>
      <c r="I186" s="24" t="s">
        <v>388</v>
      </c>
      <c r="J186" s="24" t="s">
        <v>61</v>
      </c>
      <c r="K186" s="24" t="s">
        <v>68</v>
      </c>
    </row>
    <row r="187" spans="1:11" x14ac:dyDescent="0.3">
      <c r="A187" s="24" t="s">
        <v>387</v>
      </c>
      <c r="B187" s="25">
        <v>46276</v>
      </c>
      <c r="C187" s="24" t="s">
        <v>37</v>
      </c>
      <c r="D187" s="24" t="s">
        <v>29</v>
      </c>
      <c r="E187" s="26">
        <v>3499</v>
      </c>
      <c r="F187" s="24">
        <v>2</v>
      </c>
      <c r="G187" s="26">
        <v>6998</v>
      </c>
      <c r="H187" s="24" t="s">
        <v>124</v>
      </c>
      <c r="I187" s="24" t="s">
        <v>388</v>
      </c>
      <c r="J187" s="24" t="s">
        <v>61</v>
      </c>
      <c r="K187" s="24" t="s">
        <v>68</v>
      </c>
    </row>
    <row r="188" spans="1:11" x14ac:dyDescent="0.3">
      <c r="A188" s="24" t="s">
        <v>389</v>
      </c>
      <c r="B188" s="25">
        <v>46276</v>
      </c>
      <c r="C188" s="24" t="s">
        <v>42</v>
      </c>
      <c r="D188" s="24" t="s">
        <v>28</v>
      </c>
      <c r="E188" s="26">
        <v>1999</v>
      </c>
      <c r="F188" s="24">
        <v>1</v>
      </c>
      <c r="G188" s="26">
        <v>1999</v>
      </c>
      <c r="H188" s="24" t="s">
        <v>130</v>
      </c>
      <c r="I188" s="24" t="s">
        <v>54</v>
      </c>
      <c r="J188" s="24" t="s">
        <v>61</v>
      </c>
      <c r="K188" s="24" t="s">
        <v>68</v>
      </c>
    </row>
    <row r="189" spans="1:11" x14ac:dyDescent="0.3">
      <c r="A189" s="24" t="s">
        <v>390</v>
      </c>
      <c r="B189" s="25">
        <v>46276</v>
      </c>
      <c r="C189" s="24" t="s">
        <v>47</v>
      </c>
      <c r="D189" s="24" t="s">
        <v>32</v>
      </c>
      <c r="E189" s="26">
        <v>699</v>
      </c>
      <c r="F189" s="24">
        <v>1</v>
      </c>
      <c r="G189" s="26">
        <v>699</v>
      </c>
      <c r="H189" s="24" t="s">
        <v>391</v>
      </c>
      <c r="I189" s="24" t="s">
        <v>54</v>
      </c>
      <c r="J189" s="24" t="s">
        <v>61</v>
      </c>
      <c r="K189" s="24" t="s">
        <v>67</v>
      </c>
    </row>
    <row r="190" spans="1:11" x14ac:dyDescent="0.3">
      <c r="A190" s="24" t="s">
        <v>392</v>
      </c>
      <c r="B190" s="25">
        <v>46276</v>
      </c>
      <c r="C190" s="24" t="s">
        <v>43</v>
      </c>
      <c r="D190" s="24" t="s">
        <v>28</v>
      </c>
      <c r="E190" s="26">
        <v>1299</v>
      </c>
      <c r="F190" s="24">
        <v>1</v>
      </c>
      <c r="G190" s="26">
        <v>1299</v>
      </c>
      <c r="H190" s="24" t="s">
        <v>115</v>
      </c>
      <c r="I190" s="24" t="s">
        <v>57</v>
      </c>
      <c r="J190" s="24" t="s">
        <v>61</v>
      </c>
      <c r="K190" s="24" t="s">
        <v>69</v>
      </c>
    </row>
    <row r="191" spans="1:11" x14ac:dyDescent="0.3">
      <c r="A191" s="24" t="s">
        <v>393</v>
      </c>
      <c r="B191" s="25">
        <v>46276</v>
      </c>
      <c r="C191" s="24" t="s">
        <v>44</v>
      </c>
      <c r="D191" s="24" t="s">
        <v>29</v>
      </c>
      <c r="E191" s="26">
        <v>499</v>
      </c>
      <c r="F191" s="24">
        <v>1</v>
      </c>
      <c r="G191" s="26">
        <v>499</v>
      </c>
      <c r="H191" s="24" t="s">
        <v>126</v>
      </c>
      <c r="I191" s="24" t="s">
        <v>50</v>
      </c>
      <c r="J191" s="24" t="s">
        <v>61</v>
      </c>
      <c r="K191" s="24" t="s">
        <v>67</v>
      </c>
    </row>
    <row r="192" spans="1:11" x14ac:dyDescent="0.3">
      <c r="A192" s="24" t="s">
        <v>394</v>
      </c>
      <c r="B192" s="25">
        <v>46276</v>
      </c>
      <c r="C192" s="24" t="s">
        <v>48</v>
      </c>
      <c r="D192" s="24" t="s">
        <v>32</v>
      </c>
      <c r="E192" s="26">
        <v>399</v>
      </c>
      <c r="F192" s="24">
        <v>1</v>
      </c>
      <c r="G192" s="26">
        <v>399</v>
      </c>
      <c r="H192" s="24" t="s">
        <v>95</v>
      </c>
      <c r="I192" s="24" t="s">
        <v>52</v>
      </c>
      <c r="J192" s="24" t="s">
        <v>61</v>
      </c>
      <c r="K192" s="24" t="s">
        <v>67</v>
      </c>
    </row>
    <row r="193" spans="1:11" x14ac:dyDescent="0.3">
      <c r="A193" s="24" t="s">
        <v>395</v>
      </c>
      <c r="B193" s="25">
        <v>46276</v>
      </c>
      <c r="C193" s="24" t="s">
        <v>396</v>
      </c>
      <c r="D193" s="24" t="s">
        <v>29</v>
      </c>
      <c r="E193" s="26">
        <v>499</v>
      </c>
      <c r="F193" s="24">
        <v>1</v>
      </c>
      <c r="G193" s="26">
        <v>499</v>
      </c>
      <c r="H193" s="24" t="s">
        <v>112</v>
      </c>
      <c r="I193" s="24" t="s">
        <v>50</v>
      </c>
      <c r="J193" s="24" t="s">
        <v>63</v>
      </c>
      <c r="K193" s="24" t="s">
        <v>67</v>
      </c>
    </row>
    <row r="194" spans="1:11" x14ac:dyDescent="0.3">
      <c r="A194" s="24" t="s">
        <v>397</v>
      </c>
      <c r="B194" s="25">
        <v>46276</v>
      </c>
      <c r="C194" s="24" t="s">
        <v>398</v>
      </c>
      <c r="D194" s="24" t="s">
        <v>31</v>
      </c>
      <c r="E194" s="26">
        <v>1799</v>
      </c>
      <c r="F194" s="24">
        <v>1</v>
      </c>
      <c r="G194" s="26">
        <v>1799</v>
      </c>
      <c r="H194" s="24" t="s">
        <v>103</v>
      </c>
      <c r="I194" s="24" t="s">
        <v>58</v>
      </c>
      <c r="J194" s="24" t="s">
        <v>63</v>
      </c>
      <c r="K194" s="24" t="s">
        <v>69</v>
      </c>
    </row>
    <row r="195" spans="1:11" x14ac:dyDescent="0.3">
      <c r="A195" s="24" t="s">
        <v>399</v>
      </c>
      <c r="B195" s="25">
        <v>46276</v>
      </c>
      <c r="C195" s="24" t="s">
        <v>47</v>
      </c>
      <c r="D195" s="24" t="s">
        <v>32</v>
      </c>
      <c r="E195" s="26">
        <v>699</v>
      </c>
      <c r="F195" s="24">
        <v>1</v>
      </c>
      <c r="G195" s="26">
        <v>699</v>
      </c>
      <c r="H195" s="24" t="s">
        <v>99</v>
      </c>
      <c r="I195" s="24" t="s">
        <v>56</v>
      </c>
      <c r="J195" s="24" t="s">
        <v>64</v>
      </c>
      <c r="K195" s="24" t="s">
        <v>67</v>
      </c>
    </row>
    <row r="196" spans="1:11" x14ac:dyDescent="0.3">
      <c r="A196" s="24" t="s">
        <v>400</v>
      </c>
      <c r="B196" s="25">
        <v>46277</v>
      </c>
      <c r="C196" s="24" t="s">
        <v>313</v>
      </c>
      <c r="D196" s="24" t="s">
        <v>29</v>
      </c>
      <c r="E196" s="26">
        <v>499</v>
      </c>
      <c r="F196" s="24">
        <v>1</v>
      </c>
      <c r="G196" s="26">
        <v>499</v>
      </c>
      <c r="H196" s="24" t="s">
        <v>113</v>
      </c>
      <c r="I196" s="24" t="s">
        <v>53</v>
      </c>
      <c r="J196" s="24" t="s">
        <v>61</v>
      </c>
      <c r="K196" s="24" t="s">
        <v>67</v>
      </c>
    </row>
    <row r="197" spans="1:11" x14ac:dyDescent="0.3">
      <c r="A197" s="24" t="s">
        <v>401</v>
      </c>
      <c r="B197" s="25">
        <v>46277</v>
      </c>
      <c r="C197" s="24" t="s">
        <v>44</v>
      </c>
      <c r="D197" s="24" t="s">
        <v>29</v>
      </c>
      <c r="E197" s="26">
        <v>499</v>
      </c>
      <c r="F197" s="24">
        <v>1</v>
      </c>
      <c r="G197" s="26">
        <v>499</v>
      </c>
      <c r="H197" s="24" t="s">
        <v>350</v>
      </c>
      <c r="I197" s="24" t="s">
        <v>402</v>
      </c>
      <c r="J197" s="24" t="s">
        <v>64</v>
      </c>
      <c r="K197" s="24" t="s">
        <v>67</v>
      </c>
    </row>
    <row r="198" spans="1:11" x14ac:dyDescent="0.3">
      <c r="A198" s="24" t="s">
        <v>403</v>
      </c>
      <c r="B198" s="25">
        <v>46277</v>
      </c>
      <c r="C198" s="24" t="s">
        <v>47</v>
      </c>
      <c r="D198" s="24" t="s">
        <v>32</v>
      </c>
      <c r="E198" s="26">
        <v>699</v>
      </c>
      <c r="F198" s="24">
        <v>1</v>
      </c>
      <c r="G198" s="26">
        <v>699</v>
      </c>
      <c r="H198" s="24" t="s">
        <v>121</v>
      </c>
      <c r="I198" s="24" t="s">
        <v>55</v>
      </c>
      <c r="J198" s="24" t="s">
        <v>63</v>
      </c>
      <c r="K198" s="24" t="s">
        <v>67</v>
      </c>
    </row>
    <row r="199" spans="1:11" x14ac:dyDescent="0.3">
      <c r="A199" s="24" t="s">
        <v>404</v>
      </c>
      <c r="B199" s="25">
        <v>46277</v>
      </c>
      <c r="C199" s="24" t="s">
        <v>405</v>
      </c>
      <c r="D199" s="24" t="s">
        <v>30</v>
      </c>
      <c r="E199" s="26">
        <v>3299</v>
      </c>
      <c r="F199" s="24">
        <v>1</v>
      </c>
      <c r="G199" s="26">
        <v>3299</v>
      </c>
      <c r="H199" s="24" t="s">
        <v>77</v>
      </c>
      <c r="I199" s="24" t="s">
        <v>57</v>
      </c>
      <c r="J199" s="24" t="s">
        <v>61</v>
      </c>
      <c r="K199" s="24" t="s">
        <v>67</v>
      </c>
    </row>
    <row r="200" spans="1:11" x14ac:dyDescent="0.3">
      <c r="A200" s="24" t="s">
        <v>406</v>
      </c>
      <c r="B200" s="25">
        <v>46277</v>
      </c>
      <c r="C200" s="24" t="s">
        <v>42</v>
      </c>
      <c r="D200" s="24" t="s">
        <v>28</v>
      </c>
      <c r="E200" s="26">
        <v>1999</v>
      </c>
      <c r="F200" s="24">
        <v>2</v>
      </c>
      <c r="G200" s="26">
        <v>3998</v>
      </c>
      <c r="H200" s="24" t="s">
        <v>105</v>
      </c>
      <c r="I200" s="24" t="s">
        <v>50</v>
      </c>
      <c r="J200" s="24" t="s">
        <v>61</v>
      </c>
      <c r="K200" s="24" t="s">
        <v>67</v>
      </c>
    </row>
    <row r="201" spans="1:11" x14ac:dyDescent="0.3">
      <c r="A201" s="24" t="s">
        <v>407</v>
      </c>
      <c r="B201" s="25">
        <v>46277</v>
      </c>
      <c r="C201" s="24" t="s">
        <v>408</v>
      </c>
      <c r="D201" s="24" t="s">
        <v>28</v>
      </c>
      <c r="E201" s="26">
        <v>4999</v>
      </c>
      <c r="F201" s="24">
        <v>2</v>
      </c>
      <c r="G201" s="26">
        <v>9998</v>
      </c>
      <c r="H201" s="24" t="s">
        <v>73</v>
      </c>
      <c r="I201" s="24" t="s">
        <v>54</v>
      </c>
      <c r="J201" s="24" t="s">
        <v>63</v>
      </c>
      <c r="K201" s="24" t="s">
        <v>67</v>
      </c>
    </row>
    <row r="202" spans="1:11" x14ac:dyDescent="0.3">
      <c r="A202" s="24" t="s">
        <v>409</v>
      </c>
      <c r="B202" s="25">
        <v>46277</v>
      </c>
      <c r="C202" s="24" t="s">
        <v>360</v>
      </c>
      <c r="D202" s="24" t="s">
        <v>30</v>
      </c>
      <c r="E202" s="26">
        <v>2199</v>
      </c>
      <c r="F202" s="24">
        <v>1</v>
      </c>
      <c r="G202" s="26">
        <v>2199</v>
      </c>
      <c r="H202" s="24" t="s">
        <v>109</v>
      </c>
      <c r="I202" s="24" t="s">
        <v>53</v>
      </c>
      <c r="J202" s="24" t="s">
        <v>61</v>
      </c>
      <c r="K202" s="24" t="s">
        <v>67</v>
      </c>
    </row>
    <row r="203" spans="1:11" x14ac:dyDescent="0.3">
      <c r="A203" s="24" t="s">
        <v>410</v>
      </c>
      <c r="B203" s="25">
        <v>46277</v>
      </c>
      <c r="C203" s="24" t="s">
        <v>411</v>
      </c>
      <c r="D203" s="24" t="s">
        <v>30</v>
      </c>
      <c r="E203" s="26">
        <v>2199</v>
      </c>
      <c r="F203" s="24">
        <v>1</v>
      </c>
      <c r="G203" s="26">
        <v>2199</v>
      </c>
      <c r="H203" s="24" t="s">
        <v>106</v>
      </c>
      <c r="I203" s="24" t="s">
        <v>51</v>
      </c>
      <c r="J203" s="24" t="s">
        <v>62</v>
      </c>
      <c r="K203" s="24" t="s">
        <v>69</v>
      </c>
    </row>
    <row r="204" spans="1:11" x14ac:dyDescent="0.3">
      <c r="A204" s="24" t="s">
        <v>412</v>
      </c>
      <c r="B204" s="25">
        <v>46277</v>
      </c>
      <c r="C204" s="24" t="s">
        <v>47</v>
      </c>
      <c r="D204" s="24" t="s">
        <v>32</v>
      </c>
      <c r="E204" s="26">
        <v>699</v>
      </c>
      <c r="F204" s="24">
        <v>1</v>
      </c>
      <c r="G204" s="26">
        <v>699</v>
      </c>
      <c r="H204" s="24" t="s">
        <v>113</v>
      </c>
      <c r="I204" s="24" t="s">
        <v>53</v>
      </c>
      <c r="J204" s="24" t="s">
        <v>62</v>
      </c>
      <c r="K204" s="24" t="s">
        <v>67</v>
      </c>
    </row>
    <row r="205" spans="1:11" x14ac:dyDescent="0.3">
      <c r="A205" s="24" t="s">
        <v>413</v>
      </c>
      <c r="B205" s="25">
        <v>46277</v>
      </c>
      <c r="C205" s="24" t="s">
        <v>38</v>
      </c>
      <c r="D205" s="24" t="s">
        <v>28</v>
      </c>
      <c r="E205" s="26">
        <v>2499</v>
      </c>
      <c r="F205" s="24">
        <v>1</v>
      </c>
      <c r="G205" s="26">
        <v>2499</v>
      </c>
      <c r="H205" s="24" t="s">
        <v>117</v>
      </c>
      <c r="I205" s="24" t="s">
        <v>50</v>
      </c>
      <c r="J205" s="24" t="s">
        <v>61</v>
      </c>
      <c r="K205" s="24" t="s">
        <v>67</v>
      </c>
    </row>
    <row r="206" spans="1:11" x14ac:dyDescent="0.3">
      <c r="A206" s="24" t="s">
        <v>414</v>
      </c>
      <c r="B206" s="25">
        <v>46277</v>
      </c>
      <c r="C206" s="24" t="s">
        <v>47</v>
      </c>
      <c r="D206" s="24" t="s">
        <v>32</v>
      </c>
      <c r="E206" s="26">
        <v>699</v>
      </c>
      <c r="F206" s="24">
        <v>1</v>
      </c>
      <c r="G206" s="26">
        <v>699</v>
      </c>
      <c r="H206" s="24" t="s">
        <v>85</v>
      </c>
      <c r="I206" s="24" t="s">
        <v>415</v>
      </c>
      <c r="J206" s="24" t="s">
        <v>61</v>
      </c>
      <c r="K206" s="24" t="s">
        <v>67</v>
      </c>
    </row>
    <row r="207" spans="1:11" x14ac:dyDescent="0.3">
      <c r="A207" s="24" t="s">
        <v>416</v>
      </c>
      <c r="B207" s="25">
        <v>46277</v>
      </c>
      <c r="C207" s="24" t="s">
        <v>145</v>
      </c>
      <c r="D207" s="24" t="s">
        <v>32</v>
      </c>
      <c r="E207" s="26">
        <v>399</v>
      </c>
      <c r="F207" s="24">
        <v>1</v>
      </c>
      <c r="G207" s="26">
        <v>399</v>
      </c>
      <c r="H207" s="24" t="s">
        <v>86</v>
      </c>
      <c r="I207" s="24" t="s">
        <v>50</v>
      </c>
      <c r="J207" s="24" t="s">
        <v>63</v>
      </c>
      <c r="K207" s="24" t="s">
        <v>67</v>
      </c>
    </row>
    <row r="208" spans="1:11" x14ac:dyDescent="0.3">
      <c r="A208" s="24" t="s">
        <v>417</v>
      </c>
      <c r="B208" s="25">
        <v>46277</v>
      </c>
      <c r="C208" s="24" t="s">
        <v>35</v>
      </c>
      <c r="D208" s="24" t="s">
        <v>28</v>
      </c>
      <c r="E208" s="26">
        <v>4999</v>
      </c>
      <c r="F208" s="24">
        <v>1</v>
      </c>
      <c r="G208" s="26">
        <v>4999</v>
      </c>
      <c r="H208" s="24" t="s">
        <v>83</v>
      </c>
      <c r="I208" s="24" t="s">
        <v>150</v>
      </c>
      <c r="J208" s="24" t="s">
        <v>62</v>
      </c>
      <c r="K208" s="24" t="s">
        <v>67</v>
      </c>
    </row>
    <row r="209" spans="1:11" x14ac:dyDescent="0.3">
      <c r="A209" s="24" t="s">
        <v>418</v>
      </c>
      <c r="B209" s="25">
        <v>46277</v>
      </c>
      <c r="C209" s="24" t="s">
        <v>38</v>
      </c>
      <c r="D209" s="24" t="s">
        <v>28</v>
      </c>
      <c r="E209" s="26">
        <v>2499</v>
      </c>
      <c r="F209" s="24">
        <v>3</v>
      </c>
      <c r="G209" s="26">
        <v>7497</v>
      </c>
      <c r="H209" s="24" t="s">
        <v>419</v>
      </c>
      <c r="I209" s="24" t="s">
        <v>59</v>
      </c>
      <c r="J209" s="24" t="s">
        <v>65</v>
      </c>
      <c r="K209" s="24" t="s">
        <v>67</v>
      </c>
    </row>
    <row r="210" spans="1:11" x14ac:dyDescent="0.3">
      <c r="A210" s="24" t="s">
        <v>420</v>
      </c>
      <c r="B210" s="25">
        <v>46278</v>
      </c>
      <c r="C210" s="24" t="s">
        <v>44</v>
      </c>
      <c r="D210" s="24" t="s">
        <v>29</v>
      </c>
      <c r="E210" s="26">
        <v>499</v>
      </c>
      <c r="F210" s="24">
        <v>2</v>
      </c>
      <c r="G210" s="26">
        <v>998</v>
      </c>
      <c r="H210" s="24" t="s">
        <v>75</v>
      </c>
      <c r="I210" s="24" t="s">
        <v>51</v>
      </c>
      <c r="J210" s="24" t="s">
        <v>62</v>
      </c>
      <c r="K210" s="24" t="s">
        <v>69</v>
      </c>
    </row>
    <row r="211" spans="1:11" x14ac:dyDescent="0.3">
      <c r="A211" s="24" t="s">
        <v>421</v>
      </c>
      <c r="B211" s="25">
        <v>46278</v>
      </c>
      <c r="C211" s="24" t="s">
        <v>46</v>
      </c>
      <c r="D211" s="24" t="s">
        <v>31</v>
      </c>
      <c r="E211" s="26">
        <v>599</v>
      </c>
      <c r="F211" s="24">
        <v>1</v>
      </c>
      <c r="G211" s="26">
        <v>599</v>
      </c>
      <c r="H211" s="24" t="s">
        <v>72</v>
      </c>
      <c r="I211" s="24" t="s">
        <v>59</v>
      </c>
      <c r="J211" s="24" t="s">
        <v>61</v>
      </c>
      <c r="K211" s="24" t="s">
        <v>69</v>
      </c>
    </row>
    <row r="212" spans="1:11" x14ac:dyDescent="0.3">
      <c r="A212" s="24" t="s">
        <v>422</v>
      </c>
      <c r="B212" s="25">
        <v>46278</v>
      </c>
      <c r="C212" s="24" t="s">
        <v>42</v>
      </c>
      <c r="D212" s="24" t="s">
        <v>28</v>
      </c>
      <c r="E212" s="26">
        <v>1999</v>
      </c>
      <c r="F212" s="24">
        <v>2</v>
      </c>
      <c r="G212" s="26">
        <v>3998</v>
      </c>
      <c r="H212" s="24" t="s">
        <v>423</v>
      </c>
      <c r="I212" s="24" t="s">
        <v>58</v>
      </c>
      <c r="J212" s="24" t="s">
        <v>61</v>
      </c>
      <c r="K212" s="24" t="s">
        <v>67</v>
      </c>
    </row>
    <row r="213" spans="1:11" x14ac:dyDescent="0.3">
      <c r="A213" s="24" t="s">
        <v>424</v>
      </c>
      <c r="B213" s="25">
        <v>46278</v>
      </c>
      <c r="C213" s="24" t="s">
        <v>40</v>
      </c>
      <c r="D213" s="24" t="s">
        <v>30</v>
      </c>
      <c r="E213" s="26">
        <v>2199</v>
      </c>
      <c r="F213" s="24">
        <v>1</v>
      </c>
      <c r="G213" s="26">
        <v>2199</v>
      </c>
      <c r="H213" s="24" t="s">
        <v>98</v>
      </c>
      <c r="I213" s="24" t="s">
        <v>425</v>
      </c>
      <c r="J213" s="24" t="s">
        <v>64</v>
      </c>
      <c r="K213" s="24" t="s">
        <v>67</v>
      </c>
    </row>
    <row r="214" spans="1:11" x14ac:dyDescent="0.3">
      <c r="A214" s="24" t="s">
        <v>426</v>
      </c>
      <c r="B214" s="25">
        <v>46278</v>
      </c>
      <c r="C214" s="24" t="s">
        <v>37</v>
      </c>
      <c r="D214" s="24" t="s">
        <v>29</v>
      </c>
      <c r="E214" s="26">
        <v>3499</v>
      </c>
      <c r="F214" s="24">
        <v>3</v>
      </c>
      <c r="G214" s="26">
        <v>10497</v>
      </c>
      <c r="H214" s="24" t="s">
        <v>96</v>
      </c>
      <c r="I214" s="24" t="s">
        <v>53</v>
      </c>
      <c r="J214" s="24" t="s">
        <v>65</v>
      </c>
      <c r="K214" s="24" t="s">
        <v>67</v>
      </c>
    </row>
    <row r="215" spans="1:11" x14ac:dyDescent="0.3">
      <c r="A215" s="24" t="s">
        <v>427</v>
      </c>
      <c r="B215" s="25">
        <v>46278</v>
      </c>
      <c r="C215" s="24" t="s">
        <v>48</v>
      </c>
      <c r="D215" s="24" t="s">
        <v>32</v>
      </c>
      <c r="E215" s="26">
        <v>399</v>
      </c>
      <c r="F215" s="24">
        <v>1</v>
      </c>
      <c r="G215" s="26">
        <v>399</v>
      </c>
      <c r="H215" s="24" t="s">
        <v>105</v>
      </c>
      <c r="I215" s="24" t="s">
        <v>50</v>
      </c>
      <c r="J215" s="24" t="s">
        <v>63</v>
      </c>
      <c r="K215" s="24" t="s">
        <v>67</v>
      </c>
    </row>
    <row r="216" spans="1:11" x14ac:dyDescent="0.3">
      <c r="A216" s="24" t="s">
        <v>428</v>
      </c>
      <c r="B216" s="25">
        <v>46278</v>
      </c>
      <c r="C216" s="24" t="s">
        <v>46</v>
      </c>
      <c r="D216" s="24" t="s">
        <v>31</v>
      </c>
      <c r="E216" s="26">
        <v>599</v>
      </c>
      <c r="F216" s="24">
        <v>2</v>
      </c>
      <c r="G216" s="26">
        <v>1198</v>
      </c>
      <c r="H216" s="24" t="s">
        <v>129</v>
      </c>
      <c r="I216" s="24" t="s">
        <v>54</v>
      </c>
      <c r="J216" s="24" t="s">
        <v>61</v>
      </c>
      <c r="K216" s="24" t="s">
        <v>67</v>
      </c>
    </row>
    <row r="217" spans="1:11" x14ac:dyDescent="0.3">
      <c r="A217" s="24" t="s">
        <v>429</v>
      </c>
      <c r="B217" s="25">
        <v>46278</v>
      </c>
      <c r="C217" s="24" t="s">
        <v>44</v>
      </c>
      <c r="D217" s="24" t="s">
        <v>29</v>
      </c>
      <c r="E217" s="26">
        <v>499</v>
      </c>
      <c r="F217" s="24">
        <v>1</v>
      </c>
      <c r="G217" s="26">
        <v>499</v>
      </c>
      <c r="H217" s="24" t="s">
        <v>78</v>
      </c>
      <c r="I217" s="24" t="s">
        <v>53</v>
      </c>
      <c r="J217" s="24" t="s">
        <v>61</v>
      </c>
      <c r="K217" s="24" t="s">
        <v>163</v>
      </c>
    </row>
    <row r="218" spans="1:11" x14ac:dyDescent="0.3">
      <c r="A218" s="24" t="s">
        <v>430</v>
      </c>
      <c r="B218" s="25">
        <v>46278</v>
      </c>
      <c r="C218" s="24" t="s">
        <v>431</v>
      </c>
      <c r="D218" s="24" t="s">
        <v>31</v>
      </c>
      <c r="E218" s="26">
        <v>599</v>
      </c>
      <c r="F218" s="24">
        <v>1</v>
      </c>
      <c r="G218" s="26">
        <v>599</v>
      </c>
      <c r="H218" s="24" t="s">
        <v>106</v>
      </c>
      <c r="I218" s="24" t="s">
        <v>51</v>
      </c>
      <c r="J218" s="24" t="s">
        <v>63</v>
      </c>
      <c r="K218" s="24" t="s">
        <v>67</v>
      </c>
    </row>
    <row r="219" spans="1:11" x14ac:dyDescent="0.3">
      <c r="A219" s="24" t="s">
        <v>432</v>
      </c>
      <c r="B219" s="25">
        <v>46278</v>
      </c>
      <c r="C219" s="24" t="s">
        <v>44</v>
      </c>
      <c r="D219" s="24" t="s">
        <v>29</v>
      </c>
      <c r="E219" s="26">
        <v>499</v>
      </c>
      <c r="F219" s="24">
        <v>1</v>
      </c>
      <c r="G219" s="26">
        <v>499</v>
      </c>
      <c r="H219" s="24" t="s">
        <v>91</v>
      </c>
      <c r="I219" s="24" t="s">
        <v>52</v>
      </c>
      <c r="J219" s="24" t="s">
        <v>61</v>
      </c>
      <c r="K219" s="24" t="s">
        <v>67</v>
      </c>
    </row>
    <row r="220" spans="1:11" x14ac:dyDescent="0.3">
      <c r="A220" s="24" t="s">
        <v>433</v>
      </c>
      <c r="B220" s="25">
        <v>46278</v>
      </c>
      <c r="C220" s="24" t="s">
        <v>225</v>
      </c>
      <c r="D220" s="24" t="s">
        <v>28</v>
      </c>
      <c r="E220" s="26">
        <v>4999</v>
      </c>
      <c r="F220" s="24">
        <v>2</v>
      </c>
      <c r="G220" s="26">
        <v>9998</v>
      </c>
      <c r="H220" s="24" t="s">
        <v>434</v>
      </c>
      <c r="I220" s="24" t="s">
        <v>51</v>
      </c>
      <c r="J220" s="24" t="s">
        <v>65</v>
      </c>
      <c r="K220" s="24" t="s">
        <v>67</v>
      </c>
    </row>
    <row r="221" spans="1:11" x14ac:dyDescent="0.3">
      <c r="A221" s="24" t="s">
        <v>435</v>
      </c>
      <c r="B221" s="25">
        <v>46278</v>
      </c>
      <c r="C221" s="24" t="s">
        <v>37</v>
      </c>
      <c r="D221" s="24" t="s">
        <v>29</v>
      </c>
      <c r="E221" s="26">
        <v>3499</v>
      </c>
      <c r="F221" s="24">
        <v>1</v>
      </c>
      <c r="G221" s="26">
        <v>3499</v>
      </c>
      <c r="H221" s="24" t="s">
        <v>126</v>
      </c>
      <c r="I221" s="24" t="s">
        <v>50</v>
      </c>
      <c r="J221" s="24" t="s">
        <v>62</v>
      </c>
      <c r="K221" s="24" t="s">
        <v>67</v>
      </c>
    </row>
    <row r="222" spans="1:11" x14ac:dyDescent="0.3">
      <c r="A222" s="24" t="s">
        <v>436</v>
      </c>
      <c r="B222" s="25">
        <v>46278</v>
      </c>
      <c r="C222" s="24" t="s">
        <v>143</v>
      </c>
      <c r="D222" s="24" t="s">
        <v>29</v>
      </c>
      <c r="E222" s="26">
        <v>3499</v>
      </c>
      <c r="F222" s="24">
        <v>2</v>
      </c>
      <c r="G222" s="26">
        <v>6998</v>
      </c>
      <c r="H222" s="24" t="s">
        <v>127</v>
      </c>
      <c r="I222" s="24" t="s">
        <v>52</v>
      </c>
      <c r="J222" s="24" t="s">
        <v>61</v>
      </c>
      <c r="K222" s="24" t="s">
        <v>67</v>
      </c>
    </row>
    <row r="223" spans="1:11" x14ac:dyDescent="0.3">
      <c r="A223" s="24" t="s">
        <v>437</v>
      </c>
      <c r="B223" s="25">
        <v>46278</v>
      </c>
      <c r="C223" s="24" t="s">
        <v>40</v>
      </c>
      <c r="D223" s="24" t="s">
        <v>30</v>
      </c>
      <c r="E223" s="26">
        <v>2199</v>
      </c>
      <c r="F223" s="24">
        <v>1</v>
      </c>
      <c r="G223" s="26">
        <v>2199</v>
      </c>
      <c r="H223" s="24" t="s">
        <v>72</v>
      </c>
      <c r="I223" s="24" t="s">
        <v>59</v>
      </c>
      <c r="J223" s="24" t="s">
        <v>61</v>
      </c>
      <c r="K223" s="24" t="s">
        <v>67</v>
      </c>
    </row>
    <row r="224" spans="1:11" x14ac:dyDescent="0.3">
      <c r="A224" s="24" t="s">
        <v>438</v>
      </c>
      <c r="B224" s="25">
        <v>46278</v>
      </c>
      <c r="C224" s="24" t="s">
        <v>41</v>
      </c>
      <c r="D224" s="24" t="s">
        <v>31</v>
      </c>
      <c r="E224" s="26">
        <v>1799</v>
      </c>
      <c r="F224" s="24">
        <v>2</v>
      </c>
      <c r="G224" s="26">
        <v>3598</v>
      </c>
      <c r="H224" s="24" t="s">
        <v>92</v>
      </c>
      <c r="I224" s="24" t="s">
        <v>51</v>
      </c>
      <c r="J224" s="24" t="s">
        <v>61</v>
      </c>
      <c r="K224" s="24" t="s">
        <v>69</v>
      </c>
    </row>
    <row r="225" spans="1:11" x14ac:dyDescent="0.3">
      <c r="A225" s="24" t="s">
        <v>439</v>
      </c>
      <c r="B225" s="25">
        <v>46278</v>
      </c>
      <c r="C225" s="24" t="s">
        <v>44</v>
      </c>
      <c r="D225" s="24" t="s">
        <v>29</v>
      </c>
      <c r="E225" s="26">
        <v>499</v>
      </c>
      <c r="F225" s="24">
        <v>1</v>
      </c>
      <c r="G225" s="26">
        <v>499</v>
      </c>
      <c r="H225" s="24" t="s">
        <v>95</v>
      </c>
      <c r="I225" s="24" t="s">
        <v>52</v>
      </c>
      <c r="J225" s="24" t="s">
        <v>63</v>
      </c>
      <c r="K225" s="24" t="s">
        <v>67</v>
      </c>
    </row>
    <row r="226" spans="1:11" x14ac:dyDescent="0.3">
      <c r="A226" s="24" t="s">
        <v>440</v>
      </c>
      <c r="B226" s="25">
        <v>46278</v>
      </c>
      <c r="C226" s="24" t="s">
        <v>44</v>
      </c>
      <c r="D226" s="24" t="s">
        <v>29</v>
      </c>
      <c r="E226" s="26">
        <v>499</v>
      </c>
      <c r="F226" s="24">
        <v>3</v>
      </c>
      <c r="G226" s="26">
        <v>1497</v>
      </c>
      <c r="H226" s="24" t="s">
        <v>77</v>
      </c>
      <c r="I226" s="24" t="s">
        <v>441</v>
      </c>
      <c r="J226" s="24" t="s">
        <v>63</v>
      </c>
      <c r="K226" s="24" t="s">
        <v>67</v>
      </c>
    </row>
    <row r="227" spans="1:11" x14ac:dyDescent="0.3">
      <c r="A227" s="24" t="s">
        <v>442</v>
      </c>
      <c r="B227" s="25">
        <v>46278</v>
      </c>
      <c r="C227" s="24" t="s">
        <v>38</v>
      </c>
      <c r="D227" s="24" t="s">
        <v>28</v>
      </c>
      <c r="E227" s="26">
        <v>2499</v>
      </c>
      <c r="F227" s="24">
        <v>1</v>
      </c>
      <c r="G227" s="26">
        <v>2499</v>
      </c>
      <c r="H227" s="24" t="s">
        <v>122</v>
      </c>
      <c r="I227" s="24" t="s">
        <v>51</v>
      </c>
      <c r="J227" s="24" t="s">
        <v>63</v>
      </c>
      <c r="K227" s="24" t="s">
        <v>67</v>
      </c>
    </row>
    <row r="228" spans="1:11" x14ac:dyDescent="0.3">
      <c r="A228" s="24" t="s">
        <v>443</v>
      </c>
      <c r="B228" s="25">
        <v>46278</v>
      </c>
      <c r="C228" s="24" t="s">
        <v>45</v>
      </c>
      <c r="D228" s="24" t="s">
        <v>30</v>
      </c>
      <c r="E228" s="26">
        <v>899</v>
      </c>
      <c r="F228" s="24">
        <v>1</v>
      </c>
      <c r="G228" s="26">
        <v>899</v>
      </c>
      <c r="H228" s="24" t="s">
        <v>116</v>
      </c>
      <c r="I228" s="24" t="s">
        <v>190</v>
      </c>
      <c r="J228" s="24" t="s">
        <v>61</v>
      </c>
      <c r="K228" s="24" t="s">
        <v>67</v>
      </c>
    </row>
    <row r="229" spans="1:11" x14ac:dyDescent="0.3">
      <c r="A229" s="24" t="s">
        <v>444</v>
      </c>
      <c r="B229" s="25">
        <v>46279</v>
      </c>
      <c r="C229" s="24" t="s">
        <v>42</v>
      </c>
      <c r="D229" s="24" t="s">
        <v>28</v>
      </c>
      <c r="E229" s="26">
        <v>1999</v>
      </c>
      <c r="F229" s="24">
        <v>1</v>
      </c>
      <c r="G229" s="26">
        <v>1999</v>
      </c>
      <c r="H229" s="24" t="s">
        <v>110</v>
      </c>
      <c r="I229" s="24" t="s">
        <v>59</v>
      </c>
      <c r="J229" s="24" t="s">
        <v>65</v>
      </c>
      <c r="K229" s="24" t="s">
        <v>68</v>
      </c>
    </row>
    <row r="230" spans="1:11" x14ac:dyDescent="0.3">
      <c r="A230" s="24" t="s">
        <v>445</v>
      </c>
      <c r="B230" s="25">
        <v>46279</v>
      </c>
      <c r="C230" s="24" t="s">
        <v>44</v>
      </c>
      <c r="D230" s="24" t="s">
        <v>29</v>
      </c>
      <c r="E230" s="26">
        <v>499</v>
      </c>
      <c r="F230" s="24">
        <v>2</v>
      </c>
      <c r="G230" s="26">
        <v>998</v>
      </c>
      <c r="H230" s="24" t="s">
        <v>76</v>
      </c>
      <c r="I230" s="24" t="s">
        <v>53</v>
      </c>
      <c r="J230" s="24" t="s">
        <v>63</v>
      </c>
      <c r="K230" s="24" t="s">
        <v>67</v>
      </c>
    </row>
    <row r="231" spans="1:11" x14ac:dyDescent="0.3">
      <c r="A231" s="24" t="s">
        <v>446</v>
      </c>
      <c r="B231" s="25">
        <v>46279</v>
      </c>
      <c r="C231" s="24" t="s">
        <v>46</v>
      </c>
      <c r="D231" s="24" t="s">
        <v>31</v>
      </c>
      <c r="E231" s="26">
        <v>599</v>
      </c>
      <c r="F231" s="24">
        <v>1</v>
      </c>
      <c r="G231" s="26">
        <v>599</v>
      </c>
      <c r="H231" s="24" t="s">
        <v>125</v>
      </c>
      <c r="I231" s="24" t="s">
        <v>52</v>
      </c>
      <c r="J231" s="24" t="s">
        <v>61</v>
      </c>
      <c r="K231" s="24" t="s">
        <v>67</v>
      </c>
    </row>
    <row r="232" spans="1:11" x14ac:dyDescent="0.3">
      <c r="A232" s="24" t="s">
        <v>447</v>
      </c>
      <c r="B232" s="25">
        <v>46279</v>
      </c>
      <c r="C232" s="24" t="s">
        <v>46</v>
      </c>
      <c r="D232" s="24" t="s">
        <v>31</v>
      </c>
      <c r="E232" s="26">
        <v>599</v>
      </c>
      <c r="F232" s="24">
        <v>1</v>
      </c>
      <c r="G232" s="26">
        <v>599</v>
      </c>
      <c r="H232" s="24" t="s">
        <v>81</v>
      </c>
      <c r="I232" s="24" t="s">
        <v>51</v>
      </c>
      <c r="J232" s="24" t="s">
        <v>64</v>
      </c>
      <c r="K232" s="24" t="s">
        <v>163</v>
      </c>
    </row>
    <row r="233" spans="1:11" x14ac:dyDescent="0.3">
      <c r="A233" s="24" t="s">
        <v>448</v>
      </c>
      <c r="B233" s="25">
        <v>46279</v>
      </c>
      <c r="C233" s="24" t="s">
        <v>36</v>
      </c>
      <c r="D233" s="24" t="s">
        <v>30</v>
      </c>
      <c r="E233" s="26">
        <v>3299</v>
      </c>
      <c r="F233" s="24">
        <v>1</v>
      </c>
      <c r="G233" s="26">
        <v>3299</v>
      </c>
      <c r="H233" s="24" t="s">
        <v>112</v>
      </c>
      <c r="I233" s="24" t="s">
        <v>449</v>
      </c>
      <c r="J233" s="24" t="s">
        <v>62</v>
      </c>
      <c r="K233" s="24" t="s">
        <v>67</v>
      </c>
    </row>
    <row r="234" spans="1:11" x14ac:dyDescent="0.3">
      <c r="A234" s="24" t="s">
        <v>450</v>
      </c>
      <c r="B234" s="25">
        <v>46279</v>
      </c>
      <c r="C234" s="24" t="s">
        <v>44</v>
      </c>
      <c r="D234" s="24" t="s">
        <v>29</v>
      </c>
      <c r="E234" s="26">
        <v>499</v>
      </c>
      <c r="F234" s="24">
        <v>2</v>
      </c>
      <c r="G234" s="26">
        <v>998</v>
      </c>
      <c r="H234" s="24" t="s">
        <v>111</v>
      </c>
      <c r="I234" s="24" t="s">
        <v>54</v>
      </c>
      <c r="J234" s="24" t="s">
        <v>65</v>
      </c>
      <c r="K234" s="24" t="s">
        <v>67</v>
      </c>
    </row>
    <row r="235" spans="1:11" x14ac:dyDescent="0.3">
      <c r="A235" s="24" t="s">
        <v>451</v>
      </c>
      <c r="B235" s="25">
        <v>46279</v>
      </c>
      <c r="C235" s="24" t="s">
        <v>42</v>
      </c>
      <c r="D235" s="24" t="s">
        <v>28</v>
      </c>
      <c r="E235" s="26">
        <v>1999</v>
      </c>
      <c r="F235" s="24">
        <v>1</v>
      </c>
      <c r="G235" s="26">
        <v>1999</v>
      </c>
      <c r="H235" s="24" t="s">
        <v>94</v>
      </c>
      <c r="I235" s="24" t="s">
        <v>53</v>
      </c>
      <c r="J235" s="24" t="s">
        <v>61</v>
      </c>
      <c r="K235" s="24" t="s">
        <v>67</v>
      </c>
    </row>
    <row r="236" spans="1:11" x14ac:dyDescent="0.3">
      <c r="A236" s="24" t="s">
        <v>452</v>
      </c>
      <c r="B236" s="25">
        <v>46279</v>
      </c>
      <c r="C236" s="24" t="s">
        <v>36</v>
      </c>
      <c r="D236" s="24" t="s">
        <v>30</v>
      </c>
      <c r="E236" s="26">
        <v>3299</v>
      </c>
      <c r="F236" s="24">
        <v>1</v>
      </c>
      <c r="G236" s="26">
        <v>3299</v>
      </c>
      <c r="H236" s="24" t="s">
        <v>119</v>
      </c>
      <c r="I236" s="24" t="s">
        <v>51</v>
      </c>
      <c r="J236" s="24" t="s">
        <v>61</v>
      </c>
      <c r="K236" s="24" t="s">
        <v>67</v>
      </c>
    </row>
    <row r="237" spans="1:11" x14ac:dyDescent="0.3">
      <c r="A237" s="24" t="s">
        <v>453</v>
      </c>
      <c r="B237" s="25">
        <v>46279</v>
      </c>
      <c r="C237" s="24" t="s">
        <v>46</v>
      </c>
      <c r="D237" s="24" t="s">
        <v>31</v>
      </c>
      <c r="E237" s="26">
        <v>599</v>
      </c>
      <c r="F237" s="24">
        <v>1</v>
      </c>
      <c r="G237" s="26">
        <v>599</v>
      </c>
      <c r="H237" s="24" t="s">
        <v>114</v>
      </c>
      <c r="I237" s="24" t="s">
        <v>52</v>
      </c>
      <c r="J237" s="24" t="s">
        <v>63</v>
      </c>
      <c r="K237" s="24" t="s">
        <v>67</v>
      </c>
    </row>
    <row r="238" spans="1:11" x14ac:dyDescent="0.3">
      <c r="A238" s="24" t="s">
        <v>454</v>
      </c>
      <c r="B238" s="25">
        <v>46279</v>
      </c>
      <c r="C238" s="24" t="s">
        <v>40</v>
      </c>
      <c r="D238" s="24" t="s">
        <v>30</v>
      </c>
      <c r="E238" s="26">
        <v>2199</v>
      </c>
      <c r="F238" s="24">
        <v>1</v>
      </c>
      <c r="G238" s="26">
        <v>2199</v>
      </c>
      <c r="H238" s="24" t="s">
        <v>455</v>
      </c>
      <c r="I238" s="24" t="s">
        <v>52</v>
      </c>
      <c r="J238" s="24" t="s">
        <v>61</v>
      </c>
      <c r="K238" s="24" t="s">
        <v>68</v>
      </c>
    </row>
    <row r="239" spans="1:11" x14ac:dyDescent="0.3">
      <c r="A239" s="24" t="s">
        <v>456</v>
      </c>
      <c r="B239" s="25">
        <v>46279</v>
      </c>
      <c r="C239" s="24" t="s">
        <v>193</v>
      </c>
      <c r="D239" s="24" t="s">
        <v>31</v>
      </c>
      <c r="E239" s="26">
        <v>1799</v>
      </c>
      <c r="F239" s="24">
        <v>2</v>
      </c>
      <c r="G239" s="26">
        <v>3598</v>
      </c>
      <c r="H239" s="24" t="s">
        <v>105</v>
      </c>
      <c r="I239" s="24" t="s">
        <v>50</v>
      </c>
      <c r="J239" s="24" t="s">
        <v>62</v>
      </c>
      <c r="K239" s="24" t="s">
        <v>69</v>
      </c>
    </row>
    <row r="240" spans="1:11" x14ac:dyDescent="0.3">
      <c r="A240" s="24" t="s">
        <v>457</v>
      </c>
      <c r="B240" s="25">
        <v>46279</v>
      </c>
      <c r="C240" s="24" t="s">
        <v>38</v>
      </c>
      <c r="D240" s="24" t="s">
        <v>28</v>
      </c>
      <c r="E240" s="26">
        <v>2499</v>
      </c>
      <c r="F240" s="24">
        <v>1</v>
      </c>
      <c r="G240" s="26">
        <v>2499</v>
      </c>
      <c r="H240" s="24" t="s">
        <v>100</v>
      </c>
      <c r="I240" s="24" t="s">
        <v>54</v>
      </c>
      <c r="J240" s="24" t="s">
        <v>63</v>
      </c>
      <c r="K240" s="24" t="s">
        <v>67</v>
      </c>
    </row>
    <row r="241" spans="1:11" x14ac:dyDescent="0.3">
      <c r="A241" s="24" t="s">
        <v>458</v>
      </c>
      <c r="B241" s="25">
        <v>46279</v>
      </c>
      <c r="C241" s="24" t="s">
        <v>40</v>
      </c>
      <c r="D241" s="24" t="s">
        <v>30</v>
      </c>
      <c r="E241" s="26">
        <v>2199</v>
      </c>
      <c r="F241" s="24">
        <v>1</v>
      </c>
      <c r="G241" s="26">
        <v>2199</v>
      </c>
      <c r="H241" s="24" t="s">
        <v>85</v>
      </c>
      <c r="I241" s="24" t="s">
        <v>415</v>
      </c>
      <c r="J241" s="24" t="s">
        <v>63</v>
      </c>
      <c r="K241" s="24" t="s">
        <v>67</v>
      </c>
    </row>
    <row r="242" spans="1:11" x14ac:dyDescent="0.3">
      <c r="A242" s="24" t="s">
        <v>459</v>
      </c>
      <c r="B242" s="25">
        <v>46279</v>
      </c>
      <c r="C242" s="24" t="s">
        <v>175</v>
      </c>
      <c r="D242" s="24" t="s">
        <v>28</v>
      </c>
      <c r="E242" s="26">
        <v>2499</v>
      </c>
      <c r="F242" s="24">
        <v>2</v>
      </c>
      <c r="G242" s="26">
        <v>4998</v>
      </c>
      <c r="H242" s="24" t="s">
        <v>115</v>
      </c>
      <c r="I242" s="24" t="s">
        <v>57</v>
      </c>
      <c r="J242" s="24" t="s">
        <v>64</v>
      </c>
      <c r="K242" s="24" t="s">
        <v>68</v>
      </c>
    </row>
    <row r="243" spans="1:11" x14ac:dyDescent="0.3">
      <c r="A243" s="24" t="s">
        <v>460</v>
      </c>
      <c r="B243" s="25">
        <v>46279</v>
      </c>
      <c r="C243" s="24" t="s">
        <v>35</v>
      </c>
      <c r="D243" s="24" t="s">
        <v>28</v>
      </c>
      <c r="E243" s="26">
        <v>4999</v>
      </c>
      <c r="F243" s="24">
        <v>1</v>
      </c>
      <c r="G243" s="26">
        <v>4999</v>
      </c>
      <c r="H243" s="24" t="s">
        <v>89</v>
      </c>
      <c r="I243" s="24" t="s">
        <v>52</v>
      </c>
      <c r="J243" s="24" t="s">
        <v>61</v>
      </c>
      <c r="K243" s="24" t="s">
        <v>69</v>
      </c>
    </row>
    <row r="244" spans="1:11" x14ac:dyDescent="0.3">
      <c r="A244" s="24" t="s">
        <v>461</v>
      </c>
      <c r="B244" s="25">
        <v>46279</v>
      </c>
      <c r="C244" s="24" t="s">
        <v>199</v>
      </c>
      <c r="D244" s="24" t="s">
        <v>32</v>
      </c>
      <c r="E244" s="26">
        <v>399</v>
      </c>
      <c r="F244" s="24">
        <v>1</v>
      </c>
      <c r="G244" s="26">
        <v>399</v>
      </c>
      <c r="H244" s="24" t="s">
        <v>93</v>
      </c>
      <c r="I244" s="24" t="s">
        <v>55</v>
      </c>
      <c r="J244" s="24" t="s">
        <v>64</v>
      </c>
      <c r="K244" s="24" t="s">
        <v>69</v>
      </c>
    </row>
    <row r="245" spans="1:11" x14ac:dyDescent="0.3">
      <c r="A245" s="24" t="s">
        <v>462</v>
      </c>
      <c r="B245" s="25">
        <v>46279</v>
      </c>
      <c r="C245" s="24" t="s">
        <v>45</v>
      </c>
      <c r="D245" s="24" t="s">
        <v>30</v>
      </c>
      <c r="E245" s="26">
        <v>899</v>
      </c>
      <c r="F245" s="24">
        <v>3</v>
      </c>
      <c r="G245" s="26">
        <v>2697</v>
      </c>
      <c r="H245" s="24" t="s">
        <v>116</v>
      </c>
      <c r="I245" s="24" t="s">
        <v>190</v>
      </c>
      <c r="J245" s="24" t="s">
        <v>63</v>
      </c>
      <c r="K245" s="24" t="s">
        <v>69</v>
      </c>
    </row>
    <row r="246" spans="1:11" x14ac:dyDescent="0.3">
      <c r="A246" s="24" t="s">
        <v>463</v>
      </c>
      <c r="B246" s="25">
        <v>46279</v>
      </c>
      <c r="C246" s="24" t="s">
        <v>40</v>
      </c>
      <c r="D246" s="24" t="s">
        <v>30</v>
      </c>
      <c r="E246" s="26">
        <v>2199</v>
      </c>
      <c r="F246" s="24">
        <v>1</v>
      </c>
      <c r="G246" s="26">
        <v>2199</v>
      </c>
      <c r="H246" s="24" t="s">
        <v>96</v>
      </c>
      <c r="I246" s="24" t="s">
        <v>53</v>
      </c>
      <c r="J246" s="24" t="s">
        <v>61</v>
      </c>
      <c r="K246" s="24" t="s">
        <v>67</v>
      </c>
    </row>
    <row r="247" spans="1:11" x14ac:dyDescent="0.3">
      <c r="A247" s="24" t="s">
        <v>464</v>
      </c>
      <c r="B247" s="25">
        <v>46279</v>
      </c>
      <c r="C247" s="24" t="s">
        <v>38</v>
      </c>
      <c r="D247" s="24" t="s">
        <v>28</v>
      </c>
      <c r="E247" s="26">
        <v>2499</v>
      </c>
      <c r="F247" s="24">
        <v>1</v>
      </c>
      <c r="G247" s="26">
        <v>2499</v>
      </c>
      <c r="H247" s="24" t="s">
        <v>465</v>
      </c>
      <c r="I247" s="24" t="s">
        <v>53</v>
      </c>
      <c r="J247" s="24" t="s">
        <v>64</v>
      </c>
      <c r="K247" s="24" t="s">
        <v>67</v>
      </c>
    </row>
    <row r="248" spans="1:11" x14ac:dyDescent="0.3">
      <c r="A248" s="24" t="s">
        <v>466</v>
      </c>
      <c r="B248" s="25">
        <v>46279</v>
      </c>
      <c r="C248" s="24" t="s">
        <v>44</v>
      </c>
      <c r="D248" s="24" t="s">
        <v>29</v>
      </c>
      <c r="E248" s="26">
        <v>499</v>
      </c>
      <c r="F248" s="24">
        <v>2</v>
      </c>
      <c r="G248" s="26">
        <v>998</v>
      </c>
      <c r="H248" s="24" t="s">
        <v>127</v>
      </c>
      <c r="I248" s="24" t="s">
        <v>52</v>
      </c>
      <c r="J248" s="24" t="s">
        <v>62</v>
      </c>
      <c r="K248" s="24" t="s">
        <v>67</v>
      </c>
    </row>
    <row r="249" spans="1:11" x14ac:dyDescent="0.3">
      <c r="A249" s="24" t="s">
        <v>467</v>
      </c>
      <c r="B249" s="25">
        <v>46279</v>
      </c>
      <c r="C249" s="24" t="s">
        <v>44</v>
      </c>
      <c r="D249" s="24" t="s">
        <v>29</v>
      </c>
      <c r="E249" s="26">
        <v>499</v>
      </c>
      <c r="F249" s="24">
        <v>1</v>
      </c>
      <c r="G249" s="26">
        <v>499</v>
      </c>
      <c r="H249" s="24" t="s">
        <v>116</v>
      </c>
      <c r="I249" s="24" t="s">
        <v>54</v>
      </c>
      <c r="J249" s="24" t="s">
        <v>62</v>
      </c>
      <c r="K249" s="24" t="s">
        <v>69</v>
      </c>
    </row>
    <row r="250" spans="1:11" x14ac:dyDescent="0.3">
      <c r="A250" s="24" t="s">
        <v>468</v>
      </c>
      <c r="B250" s="25">
        <v>46280</v>
      </c>
      <c r="C250" s="24" t="s">
        <v>44</v>
      </c>
      <c r="D250" s="24" t="s">
        <v>29</v>
      </c>
      <c r="E250" s="26">
        <v>499</v>
      </c>
      <c r="F250" s="24">
        <v>1</v>
      </c>
      <c r="G250" s="26">
        <v>499</v>
      </c>
      <c r="H250" s="24" t="s">
        <v>98</v>
      </c>
      <c r="I250" s="24" t="s">
        <v>51</v>
      </c>
      <c r="J250" s="24" t="s">
        <v>64</v>
      </c>
      <c r="K250" s="24" t="s">
        <v>67</v>
      </c>
    </row>
    <row r="251" spans="1:11" x14ac:dyDescent="0.3">
      <c r="A251" s="24" t="s">
        <v>469</v>
      </c>
      <c r="B251" s="25">
        <v>46280</v>
      </c>
      <c r="C251" s="24" t="s">
        <v>35</v>
      </c>
      <c r="D251" s="24" t="s">
        <v>28</v>
      </c>
      <c r="E251" s="26">
        <v>4999</v>
      </c>
      <c r="F251" s="24">
        <v>1</v>
      </c>
      <c r="G251" s="26">
        <v>4999</v>
      </c>
      <c r="H251" s="24" t="s">
        <v>106</v>
      </c>
      <c r="I251" s="24" t="s">
        <v>51</v>
      </c>
      <c r="J251" s="24" t="s">
        <v>61</v>
      </c>
      <c r="K251" s="24" t="s">
        <v>67</v>
      </c>
    </row>
    <row r="252" spans="1:11" x14ac:dyDescent="0.3">
      <c r="A252" s="24" t="s">
        <v>470</v>
      </c>
      <c r="B252" s="25">
        <v>46280</v>
      </c>
      <c r="C252" s="24" t="s">
        <v>45</v>
      </c>
      <c r="D252" s="24" t="s">
        <v>30</v>
      </c>
      <c r="E252" s="26">
        <v>899</v>
      </c>
      <c r="F252" s="24">
        <v>3</v>
      </c>
      <c r="G252" s="26">
        <v>2697</v>
      </c>
      <c r="H252" s="24" t="s">
        <v>76</v>
      </c>
      <c r="I252" s="24" t="s">
        <v>53</v>
      </c>
      <c r="J252" s="24" t="s">
        <v>64</v>
      </c>
      <c r="K252" s="24" t="s">
        <v>69</v>
      </c>
    </row>
    <row r="253" spans="1:11" x14ac:dyDescent="0.3">
      <c r="A253" s="24" t="s">
        <v>471</v>
      </c>
      <c r="B253" s="25">
        <v>46280</v>
      </c>
      <c r="C253" s="24" t="s">
        <v>45</v>
      </c>
      <c r="D253" s="24" t="s">
        <v>30</v>
      </c>
      <c r="E253" s="26">
        <v>899</v>
      </c>
      <c r="F253" s="24">
        <v>1</v>
      </c>
      <c r="G253" s="26">
        <v>899</v>
      </c>
      <c r="H253" s="24" t="s">
        <v>472</v>
      </c>
      <c r="I253" s="24" t="s">
        <v>54</v>
      </c>
      <c r="J253" s="24" t="s">
        <v>61</v>
      </c>
      <c r="K253" s="24" t="s">
        <v>69</v>
      </c>
    </row>
    <row r="254" spans="1:11" x14ac:dyDescent="0.3">
      <c r="A254" s="24" t="s">
        <v>473</v>
      </c>
      <c r="B254" s="25">
        <v>46280</v>
      </c>
      <c r="C254" s="24" t="s">
        <v>48</v>
      </c>
      <c r="D254" s="24" t="s">
        <v>32</v>
      </c>
      <c r="E254" s="26">
        <v>399</v>
      </c>
      <c r="F254" s="24">
        <v>2</v>
      </c>
      <c r="G254" s="26">
        <v>798</v>
      </c>
      <c r="H254" s="24" t="s">
        <v>92</v>
      </c>
      <c r="I254" s="24" t="s">
        <v>51</v>
      </c>
      <c r="J254" s="24" t="s">
        <v>63</v>
      </c>
      <c r="K254" s="24" t="s">
        <v>67</v>
      </c>
    </row>
    <row r="255" spans="1:11" x14ac:dyDescent="0.3">
      <c r="A255" s="24" t="s">
        <v>474</v>
      </c>
      <c r="B255" s="25">
        <v>46280</v>
      </c>
      <c r="C255" s="24" t="s">
        <v>45</v>
      </c>
      <c r="D255" s="24" t="s">
        <v>30</v>
      </c>
      <c r="E255" s="26">
        <v>899</v>
      </c>
      <c r="F255" s="24">
        <v>2</v>
      </c>
      <c r="G255" s="26">
        <v>1798</v>
      </c>
      <c r="H255" s="24" t="s">
        <v>76</v>
      </c>
      <c r="I255" s="24" t="s">
        <v>53</v>
      </c>
      <c r="J255" s="24" t="s">
        <v>63</v>
      </c>
      <c r="K255" s="24" t="s">
        <v>67</v>
      </c>
    </row>
    <row r="256" spans="1:11" x14ac:dyDescent="0.3">
      <c r="A256" s="24" t="s">
        <v>475</v>
      </c>
      <c r="B256" s="25">
        <v>46280</v>
      </c>
      <c r="C256" s="24" t="s">
        <v>42</v>
      </c>
      <c r="D256" s="24" t="s">
        <v>28</v>
      </c>
      <c r="E256" s="26">
        <v>1999</v>
      </c>
      <c r="F256" s="24">
        <v>4</v>
      </c>
      <c r="G256" s="26">
        <v>7996</v>
      </c>
      <c r="H256" s="24" t="s">
        <v>105</v>
      </c>
      <c r="I256" s="24" t="s">
        <v>50</v>
      </c>
      <c r="J256" s="24" t="s">
        <v>61</v>
      </c>
      <c r="K256" s="24" t="s">
        <v>67</v>
      </c>
    </row>
    <row r="257" spans="1:11" x14ac:dyDescent="0.3">
      <c r="A257" s="24" t="s">
        <v>476</v>
      </c>
      <c r="B257" s="25">
        <v>46280</v>
      </c>
      <c r="C257" s="24" t="s">
        <v>46</v>
      </c>
      <c r="D257" s="24" t="s">
        <v>31</v>
      </c>
      <c r="E257" s="26">
        <v>599</v>
      </c>
      <c r="F257" s="24">
        <v>1</v>
      </c>
      <c r="G257" s="26">
        <v>599</v>
      </c>
      <c r="H257" s="24" t="s">
        <v>123</v>
      </c>
      <c r="I257" s="24" t="s">
        <v>55</v>
      </c>
      <c r="J257" s="24" t="s">
        <v>62</v>
      </c>
      <c r="K257" s="24" t="s">
        <v>163</v>
      </c>
    </row>
    <row r="258" spans="1:11" x14ac:dyDescent="0.3">
      <c r="A258" s="24" t="s">
        <v>477</v>
      </c>
      <c r="B258" s="25">
        <v>46280</v>
      </c>
      <c r="C258" s="24" t="s">
        <v>37</v>
      </c>
      <c r="D258" s="24" t="s">
        <v>29</v>
      </c>
      <c r="E258" s="26">
        <v>3499</v>
      </c>
      <c r="F258" s="24">
        <v>4</v>
      </c>
      <c r="G258" s="26">
        <v>13996</v>
      </c>
      <c r="H258" s="24" t="s">
        <v>129</v>
      </c>
      <c r="I258" s="24" t="s">
        <v>478</v>
      </c>
      <c r="J258" s="24" t="s">
        <v>62</v>
      </c>
      <c r="K258" s="24" t="s">
        <v>67</v>
      </c>
    </row>
    <row r="259" spans="1:11" x14ac:dyDescent="0.3">
      <c r="A259" s="24" t="s">
        <v>479</v>
      </c>
      <c r="B259" s="25">
        <v>46280</v>
      </c>
      <c r="C259" s="24" t="s">
        <v>45</v>
      </c>
      <c r="D259" s="24" t="s">
        <v>30</v>
      </c>
      <c r="E259" s="26">
        <v>899</v>
      </c>
      <c r="F259" s="24">
        <v>2</v>
      </c>
      <c r="G259" s="26">
        <v>1798</v>
      </c>
      <c r="H259" s="24" t="s">
        <v>107</v>
      </c>
      <c r="I259" s="24" t="s">
        <v>52</v>
      </c>
      <c r="J259" s="24" t="s">
        <v>64</v>
      </c>
      <c r="K259" s="24" t="s">
        <v>67</v>
      </c>
    </row>
    <row r="260" spans="1:11" x14ac:dyDescent="0.3">
      <c r="A260" s="24" t="s">
        <v>480</v>
      </c>
      <c r="B260" s="25">
        <v>46280</v>
      </c>
      <c r="C260" s="24" t="s">
        <v>481</v>
      </c>
      <c r="D260" s="24" t="s">
        <v>29</v>
      </c>
      <c r="E260" s="26">
        <v>5999</v>
      </c>
      <c r="F260" s="24">
        <v>2</v>
      </c>
      <c r="G260" s="26">
        <v>11998</v>
      </c>
      <c r="H260" s="24" t="s">
        <v>89</v>
      </c>
      <c r="I260" s="24" t="s">
        <v>52</v>
      </c>
      <c r="J260" s="24" t="s">
        <v>61</v>
      </c>
      <c r="K260" s="24" t="s">
        <v>67</v>
      </c>
    </row>
    <row r="261" spans="1:11" x14ac:dyDescent="0.3">
      <c r="A261" s="24" t="s">
        <v>482</v>
      </c>
      <c r="B261" s="25">
        <v>46280</v>
      </c>
      <c r="C261" s="24" t="s">
        <v>47</v>
      </c>
      <c r="D261" s="24" t="s">
        <v>32</v>
      </c>
      <c r="E261" s="26">
        <v>699</v>
      </c>
      <c r="F261" s="24">
        <v>1</v>
      </c>
      <c r="G261" s="26">
        <v>699</v>
      </c>
      <c r="H261" s="24" t="s">
        <v>116</v>
      </c>
      <c r="I261" s="24" t="s">
        <v>483</v>
      </c>
      <c r="J261" s="24" t="s">
        <v>61</v>
      </c>
      <c r="K261" s="24" t="s">
        <v>67</v>
      </c>
    </row>
    <row r="262" spans="1:11" x14ac:dyDescent="0.3">
      <c r="A262" s="24" t="s">
        <v>484</v>
      </c>
      <c r="B262" s="25">
        <v>46280</v>
      </c>
      <c r="C262" s="24" t="s">
        <v>47</v>
      </c>
      <c r="D262" s="24" t="s">
        <v>32</v>
      </c>
      <c r="E262" s="26">
        <v>699</v>
      </c>
      <c r="F262" s="24">
        <v>1</v>
      </c>
      <c r="G262" s="26">
        <v>699</v>
      </c>
      <c r="H262" s="24" t="s">
        <v>90</v>
      </c>
      <c r="I262" s="24" t="s">
        <v>52</v>
      </c>
      <c r="J262" s="24" t="s">
        <v>61</v>
      </c>
      <c r="K262" s="24" t="s">
        <v>67</v>
      </c>
    </row>
    <row r="263" spans="1:11" x14ac:dyDescent="0.3">
      <c r="A263" s="24" t="s">
        <v>485</v>
      </c>
      <c r="B263" s="25">
        <v>46280</v>
      </c>
      <c r="C263" s="24" t="s">
        <v>36</v>
      </c>
      <c r="D263" s="24" t="s">
        <v>30</v>
      </c>
      <c r="E263" s="26">
        <v>3299</v>
      </c>
      <c r="F263" s="24">
        <v>2</v>
      </c>
      <c r="G263" s="26">
        <v>6598</v>
      </c>
      <c r="H263" s="24" t="s">
        <v>96</v>
      </c>
      <c r="I263" s="24" t="s">
        <v>53</v>
      </c>
      <c r="J263" s="24" t="s">
        <v>65</v>
      </c>
      <c r="K263" s="24" t="s">
        <v>69</v>
      </c>
    </row>
    <row r="264" spans="1:11" x14ac:dyDescent="0.3">
      <c r="A264" s="24" t="s">
        <v>486</v>
      </c>
      <c r="B264" s="25">
        <v>46280</v>
      </c>
      <c r="C264" s="24" t="s">
        <v>225</v>
      </c>
      <c r="D264" s="24" t="s">
        <v>28</v>
      </c>
      <c r="E264" s="26">
        <v>4999</v>
      </c>
      <c r="F264" s="24">
        <v>1</v>
      </c>
      <c r="G264" s="26">
        <v>4999</v>
      </c>
      <c r="H264" s="24" t="s">
        <v>88</v>
      </c>
      <c r="I264" s="24" t="s">
        <v>53</v>
      </c>
      <c r="J264" s="24" t="s">
        <v>61</v>
      </c>
      <c r="K264" s="24" t="s">
        <v>67</v>
      </c>
    </row>
    <row r="265" spans="1:11" x14ac:dyDescent="0.3">
      <c r="A265" s="24" t="s">
        <v>486</v>
      </c>
      <c r="B265" s="25">
        <v>46280</v>
      </c>
      <c r="C265" s="24" t="s">
        <v>225</v>
      </c>
      <c r="D265" s="24" t="s">
        <v>28</v>
      </c>
      <c r="E265" s="26">
        <v>4999</v>
      </c>
      <c r="F265" s="24">
        <v>1</v>
      </c>
      <c r="G265" s="26">
        <v>4999</v>
      </c>
      <c r="H265" s="24" t="s">
        <v>88</v>
      </c>
      <c r="I265" s="24" t="s">
        <v>53</v>
      </c>
      <c r="J265" s="24" t="s">
        <v>61</v>
      </c>
      <c r="K265" s="24" t="s">
        <v>67</v>
      </c>
    </row>
    <row r="266" spans="1:11" x14ac:dyDescent="0.3">
      <c r="A266" s="24" t="s">
        <v>487</v>
      </c>
      <c r="B266" s="25">
        <v>46280</v>
      </c>
      <c r="C266" s="24" t="s">
        <v>44</v>
      </c>
      <c r="D266" s="24" t="s">
        <v>29</v>
      </c>
      <c r="E266" s="26">
        <v>499</v>
      </c>
      <c r="F266" s="24">
        <v>1</v>
      </c>
      <c r="G266" s="26">
        <v>499</v>
      </c>
      <c r="H266" s="24" t="s">
        <v>122</v>
      </c>
      <c r="I266" s="24" t="s">
        <v>51</v>
      </c>
      <c r="J266" s="24" t="s">
        <v>61</v>
      </c>
      <c r="K266" s="24" t="s">
        <v>67</v>
      </c>
    </row>
    <row r="267" spans="1:11" x14ac:dyDescent="0.3">
      <c r="A267" s="24" t="s">
        <v>488</v>
      </c>
      <c r="B267" s="25">
        <v>46280</v>
      </c>
      <c r="C267" s="24" t="s">
        <v>43</v>
      </c>
      <c r="D267" s="24" t="s">
        <v>28</v>
      </c>
      <c r="E267" s="26">
        <v>1299</v>
      </c>
      <c r="F267" s="24">
        <v>1</v>
      </c>
      <c r="G267" s="26">
        <v>1299</v>
      </c>
      <c r="H267" s="24" t="s">
        <v>96</v>
      </c>
      <c r="I267" s="24" t="s">
        <v>53</v>
      </c>
      <c r="J267" s="24" t="s">
        <v>61</v>
      </c>
      <c r="K267" s="24" t="s">
        <v>163</v>
      </c>
    </row>
    <row r="268" spans="1:11" x14ac:dyDescent="0.3">
      <c r="A268" s="24" t="s">
        <v>489</v>
      </c>
      <c r="B268" s="25">
        <v>46280</v>
      </c>
      <c r="C268" s="24" t="s">
        <v>41</v>
      </c>
      <c r="D268" s="24" t="s">
        <v>31</v>
      </c>
      <c r="E268" s="26">
        <v>1799</v>
      </c>
      <c r="F268" s="24">
        <v>3</v>
      </c>
      <c r="G268" s="26">
        <v>5397</v>
      </c>
      <c r="H268" s="24" t="s">
        <v>124</v>
      </c>
      <c r="I268" s="24" t="s">
        <v>51</v>
      </c>
      <c r="J268" s="24" t="s">
        <v>61</v>
      </c>
      <c r="K268" s="24" t="s">
        <v>67</v>
      </c>
    </row>
    <row r="269" spans="1:11" x14ac:dyDescent="0.3">
      <c r="A269" s="24" t="s">
        <v>490</v>
      </c>
      <c r="B269" s="25">
        <v>46280</v>
      </c>
      <c r="C269" s="24" t="s">
        <v>39</v>
      </c>
      <c r="D269" s="24" t="s">
        <v>29</v>
      </c>
      <c r="E269" s="26">
        <v>5999</v>
      </c>
      <c r="F269" s="24">
        <v>3</v>
      </c>
      <c r="G269" s="26">
        <v>17997</v>
      </c>
      <c r="H269" s="24" t="s">
        <v>99</v>
      </c>
      <c r="I269" s="24" t="s">
        <v>56</v>
      </c>
      <c r="J269" s="24" t="s">
        <v>64</v>
      </c>
      <c r="K269" s="24" t="s">
        <v>67</v>
      </c>
    </row>
    <row r="270" spans="1:11" x14ac:dyDescent="0.3">
      <c r="A270" s="24" t="s">
        <v>491</v>
      </c>
      <c r="B270" s="25">
        <v>46280</v>
      </c>
      <c r="C270" s="24" t="s">
        <v>46</v>
      </c>
      <c r="D270" s="24" t="s">
        <v>31</v>
      </c>
      <c r="E270" s="26">
        <v>599</v>
      </c>
      <c r="F270" s="24">
        <v>1</v>
      </c>
      <c r="G270" s="26">
        <v>599</v>
      </c>
      <c r="H270" s="24" t="s">
        <v>73</v>
      </c>
      <c r="I270" s="24" t="s">
        <v>483</v>
      </c>
      <c r="J270" s="24" t="s">
        <v>65</v>
      </c>
      <c r="K270" s="24" t="s">
        <v>69</v>
      </c>
    </row>
    <row r="271" spans="1:11" x14ac:dyDescent="0.3">
      <c r="A271" s="24" t="s">
        <v>492</v>
      </c>
      <c r="B271" s="25">
        <v>46280</v>
      </c>
      <c r="C271" s="24" t="s">
        <v>298</v>
      </c>
      <c r="D271" s="24" t="s">
        <v>28</v>
      </c>
      <c r="E271" s="26">
        <v>2499</v>
      </c>
      <c r="F271" s="24">
        <v>1</v>
      </c>
      <c r="G271" s="26">
        <v>2499</v>
      </c>
      <c r="H271" s="24" t="s">
        <v>96</v>
      </c>
      <c r="I271" s="24" t="s">
        <v>53</v>
      </c>
      <c r="J271" s="24" t="s">
        <v>63</v>
      </c>
      <c r="K271" s="24" t="s">
        <v>163</v>
      </c>
    </row>
    <row r="272" spans="1:11" x14ac:dyDescent="0.3">
      <c r="A272" s="24" t="s">
        <v>493</v>
      </c>
      <c r="B272" s="25">
        <v>46280</v>
      </c>
      <c r="C272" s="24" t="s">
        <v>37</v>
      </c>
      <c r="D272" s="24" t="s">
        <v>29</v>
      </c>
      <c r="E272" s="26">
        <v>3499</v>
      </c>
      <c r="F272" s="24">
        <v>1</v>
      </c>
      <c r="G272" s="26">
        <v>3499</v>
      </c>
      <c r="H272" s="24" t="s">
        <v>75</v>
      </c>
      <c r="I272" s="24" t="s">
        <v>51</v>
      </c>
      <c r="J272" s="24" t="s">
        <v>61</v>
      </c>
      <c r="K272" s="24" t="s">
        <v>68</v>
      </c>
    </row>
    <row r="273" spans="1:11" x14ac:dyDescent="0.3">
      <c r="A273" s="24" t="s">
        <v>494</v>
      </c>
      <c r="B273" s="25">
        <v>46280</v>
      </c>
      <c r="C273" s="24" t="s">
        <v>36</v>
      </c>
      <c r="D273" s="24" t="s">
        <v>30</v>
      </c>
      <c r="E273" s="26">
        <v>3299</v>
      </c>
      <c r="F273" s="24">
        <v>3</v>
      </c>
      <c r="G273" s="26">
        <v>9897</v>
      </c>
      <c r="H273" s="24" t="s">
        <v>100</v>
      </c>
      <c r="I273" s="24" t="s">
        <v>54</v>
      </c>
      <c r="J273" s="24" t="s">
        <v>62</v>
      </c>
      <c r="K273" s="24" t="s">
        <v>69</v>
      </c>
    </row>
    <row r="274" spans="1:11" x14ac:dyDescent="0.3">
      <c r="A274" s="24" t="s">
        <v>495</v>
      </c>
      <c r="B274" s="25">
        <v>46280</v>
      </c>
      <c r="C274" s="24" t="s">
        <v>38</v>
      </c>
      <c r="D274" s="24" t="s">
        <v>28</v>
      </c>
      <c r="E274" s="26">
        <v>2499</v>
      </c>
      <c r="F274" s="24">
        <v>2</v>
      </c>
      <c r="G274" s="26">
        <v>4998</v>
      </c>
      <c r="H274" s="24" t="s">
        <v>91</v>
      </c>
      <c r="I274" s="24" t="s">
        <v>52</v>
      </c>
      <c r="J274" s="24" t="s">
        <v>62</v>
      </c>
      <c r="K274" s="24" t="s">
        <v>67</v>
      </c>
    </row>
    <row r="275" spans="1:11" x14ac:dyDescent="0.3">
      <c r="A275" s="24" t="s">
        <v>496</v>
      </c>
      <c r="B275" s="25">
        <v>46280</v>
      </c>
      <c r="C275" s="24" t="s">
        <v>48</v>
      </c>
      <c r="D275" s="24" t="s">
        <v>32</v>
      </c>
      <c r="E275" s="26">
        <v>399</v>
      </c>
      <c r="F275" s="24">
        <v>1</v>
      </c>
      <c r="G275" s="26">
        <v>299</v>
      </c>
      <c r="H275" s="24" t="s">
        <v>118</v>
      </c>
      <c r="I275" s="24" t="s">
        <v>425</v>
      </c>
      <c r="J275" s="24" t="s">
        <v>62</v>
      </c>
      <c r="K275" s="24" t="s">
        <v>67</v>
      </c>
    </row>
    <row r="276" spans="1:11" x14ac:dyDescent="0.3">
      <c r="A276" s="24" t="s">
        <v>497</v>
      </c>
      <c r="B276" s="25">
        <v>46280</v>
      </c>
      <c r="C276" s="24" t="s">
        <v>41</v>
      </c>
      <c r="D276" s="24" t="s">
        <v>31</v>
      </c>
      <c r="E276" s="26">
        <v>1799</v>
      </c>
      <c r="F276" s="24">
        <v>2</v>
      </c>
      <c r="G276" s="26">
        <v>3598</v>
      </c>
      <c r="H276" s="24" t="s">
        <v>103</v>
      </c>
      <c r="I276" s="24" t="s">
        <v>58</v>
      </c>
      <c r="J276" s="24" t="s">
        <v>61</v>
      </c>
      <c r="K276" s="24" t="s">
        <v>69</v>
      </c>
    </row>
    <row r="277" spans="1:11" x14ac:dyDescent="0.3">
      <c r="A277" s="24" t="s">
        <v>498</v>
      </c>
      <c r="B277" s="25">
        <v>46280</v>
      </c>
      <c r="C277" s="24" t="s">
        <v>47</v>
      </c>
      <c r="D277" s="24" t="s">
        <v>32</v>
      </c>
      <c r="E277" s="26">
        <v>699</v>
      </c>
      <c r="F277" s="24">
        <v>1</v>
      </c>
      <c r="G277" s="26">
        <v>699</v>
      </c>
      <c r="H277" s="24" t="s">
        <v>104</v>
      </c>
      <c r="I277" s="24" t="s">
        <v>51</v>
      </c>
      <c r="J277" s="24" t="s">
        <v>61</v>
      </c>
      <c r="K277" s="24" t="s">
        <v>67</v>
      </c>
    </row>
    <row r="278" spans="1:11" x14ac:dyDescent="0.3">
      <c r="A278" s="24" t="s">
        <v>499</v>
      </c>
      <c r="B278" s="25">
        <v>46280</v>
      </c>
      <c r="C278" s="24" t="s">
        <v>48</v>
      </c>
      <c r="D278" s="24" t="s">
        <v>32</v>
      </c>
      <c r="E278" s="26">
        <v>399</v>
      </c>
      <c r="F278" s="24">
        <v>1</v>
      </c>
      <c r="G278" s="26">
        <v>649</v>
      </c>
      <c r="H278" s="24" t="s">
        <v>500</v>
      </c>
      <c r="I278" s="24" t="s">
        <v>51</v>
      </c>
      <c r="J278" s="24" t="s">
        <v>65</v>
      </c>
      <c r="K278" s="24" t="s">
        <v>67</v>
      </c>
    </row>
    <row r="279" spans="1:11" x14ac:dyDescent="0.3">
      <c r="A279" s="24" t="s">
        <v>501</v>
      </c>
      <c r="B279" s="25">
        <v>46280</v>
      </c>
      <c r="C279" s="24" t="s">
        <v>37</v>
      </c>
      <c r="D279" s="24" t="s">
        <v>29</v>
      </c>
      <c r="E279" s="26">
        <v>3499</v>
      </c>
      <c r="F279" s="24">
        <v>1</v>
      </c>
      <c r="G279" s="26">
        <v>3499</v>
      </c>
      <c r="H279" s="24" t="s">
        <v>126</v>
      </c>
      <c r="I279" s="24" t="s">
        <v>50</v>
      </c>
      <c r="J279" s="24" t="s">
        <v>62</v>
      </c>
      <c r="K279" s="24" t="s">
        <v>69</v>
      </c>
    </row>
    <row r="280" spans="1:11" x14ac:dyDescent="0.3">
      <c r="A280" s="24" t="s">
        <v>502</v>
      </c>
      <c r="B280" s="25">
        <v>46280</v>
      </c>
      <c r="C280" s="24" t="s">
        <v>44</v>
      </c>
      <c r="D280" s="24" t="s">
        <v>29</v>
      </c>
      <c r="E280" s="26">
        <v>499</v>
      </c>
      <c r="F280" s="24">
        <v>1</v>
      </c>
      <c r="G280" s="26">
        <v>499</v>
      </c>
      <c r="H280" s="24" t="s">
        <v>125</v>
      </c>
      <c r="I280" s="24" t="s">
        <v>52</v>
      </c>
      <c r="J280" s="24" t="s">
        <v>63</v>
      </c>
      <c r="K280" s="24" t="s">
        <v>67</v>
      </c>
    </row>
    <row r="281" spans="1:11" x14ac:dyDescent="0.3">
      <c r="A281" s="24" t="s">
        <v>503</v>
      </c>
      <c r="B281" s="25">
        <v>46280</v>
      </c>
      <c r="C281" s="24" t="s">
        <v>48</v>
      </c>
      <c r="D281" s="24" t="s">
        <v>32</v>
      </c>
      <c r="E281" s="26">
        <v>399</v>
      </c>
      <c r="F281" s="24">
        <v>1</v>
      </c>
      <c r="G281" s="26">
        <v>399</v>
      </c>
      <c r="H281" s="24" t="s">
        <v>118</v>
      </c>
      <c r="I281" s="24" t="s">
        <v>51</v>
      </c>
      <c r="J281" s="24" t="s">
        <v>63</v>
      </c>
      <c r="K281" s="24" t="s">
        <v>163</v>
      </c>
    </row>
    <row r="282" spans="1:11" x14ac:dyDescent="0.3">
      <c r="A282" s="24" t="s">
        <v>504</v>
      </c>
      <c r="B282" s="25">
        <v>46281</v>
      </c>
      <c r="C282" s="24" t="s">
        <v>47</v>
      </c>
      <c r="D282" s="24" t="s">
        <v>32</v>
      </c>
      <c r="E282" s="26">
        <v>699</v>
      </c>
      <c r="F282" s="24">
        <v>1</v>
      </c>
      <c r="G282" s="26">
        <v>699</v>
      </c>
      <c r="H282" s="24" t="s">
        <v>98</v>
      </c>
      <c r="I282" s="24" t="s">
        <v>51</v>
      </c>
      <c r="J282" s="24" t="s">
        <v>63</v>
      </c>
      <c r="K282" s="24" t="s">
        <v>69</v>
      </c>
    </row>
    <row r="283" spans="1:11" x14ac:dyDescent="0.3">
      <c r="A283" s="24" t="s">
        <v>505</v>
      </c>
      <c r="B283" s="25">
        <v>46281</v>
      </c>
      <c r="C283" s="24" t="s">
        <v>46</v>
      </c>
      <c r="D283" s="24" t="s">
        <v>31</v>
      </c>
      <c r="E283" s="26">
        <v>599</v>
      </c>
      <c r="F283" s="24">
        <v>1</v>
      </c>
      <c r="G283" s="26">
        <v>599</v>
      </c>
      <c r="H283" s="24" t="s">
        <v>102</v>
      </c>
      <c r="I283" s="24" t="s">
        <v>58</v>
      </c>
      <c r="J283" s="24" t="s">
        <v>63</v>
      </c>
      <c r="K283" s="24" t="s">
        <v>67</v>
      </c>
    </row>
    <row r="284" spans="1:11" x14ac:dyDescent="0.3">
      <c r="A284" s="24" t="s">
        <v>506</v>
      </c>
      <c r="B284" s="25">
        <v>46281</v>
      </c>
      <c r="C284" s="24" t="s">
        <v>48</v>
      </c>
      <c r="D284" s="24" t="s">
        <v>32</v>
      </c>
      <c r="E284" s="26">
        <v>399</v>
      </c>
      <c r="F284" s="24">
        <v>2</v>
      </c>
      <c r="G284" s="26">
        <v>798</v>
      </c>
      <c r="H284" s="24" t="s">
        <v>316</v>
      </c>
      <c r="I284" s="24" t="s">
        <v>51</v>
      </c>
      <c r="J284" s="24" t="s">
        <v>65</v>
      </c>
      <c r="K284" s="24" t="s">
        <v>67</v>
      </c>
    </row>
    <row r="285" spans="1:11" x14ac:dyDescent="0.3">
      <c r="A285" s="24" t="s">
        <v>507</v>
      </c>
      <c r="B285" s="25">
        <v>46281</v>
      </c>
      <c r="C285" s="24" t="s">
        <v>43</v>
      </c>
      <c r="D285" s="24" t="s">
        <v>28</v>
      </c>
      <c r="E285" s="26">
        <v>1299</v>
      </c>
      <c r="F285" s="24">
        <v>4</v>
      </c>
      <c r="G285" s="26">
        <v>5196</v>
      </c>
      <c r="H285" s="24" t="s">
        <v>126</v>
      </c>
      <c r="I285" s="24" t="s">
        <v>50</v>
      </c>
      <c r="J285" s="24" t="s">
        <v>61</v>
      </c>
      <c r="K285" s="24" t="s">
        <v>67</v>
      </c>
    </row>
    <row r="286" spans="1:11" x14ac:dyDescent="0.3">
      <c r="A286" s="24" t="s">
        <v>508</v>
      </c>
      <c r="B286" s="25">
        <v>46281</v>
      </c>
      <c r="C286" s="24" t="s">
        <v>38</v>
      </c>
      <c r="D286" s="24" t="s">
        <v>28</v>
      </c>
      <c r="E286" s="26">
        <v>2499</v>
      </c>
      <c r="F286" s="24">
        <v>1</v>
      </c>
      <c r="G286" s="26">
        <v>2499</v>
      </c>
      <c r="H286" s="24" t="s">
        <v>99</v>
      </c>
      <c r="I286" s="24" t="s">
        <v>56</v>
      </c>
      <c r="J286" s="24" t="s">
        <v>62</v>
      </c>
      <c r="K286" s="24" t="s">
        <v>67</v>
      </c>
    </row>
    <row r="287" spans="1:11" x14ac:dyDescent="0.3">
      <c r="A287" s="24" t="s">
        <v>509</v>
      </c>
      <c r="B287" s="25">
        <v>46281</v>
      </c>
      <c r="C287" s="24" t="s">
        <v>48</v>
      </c>
      <c r="D287" s="24" t="s">
        <v>32</v>
      </c>
      <c r="E287" s="26">
        <v>399</v>
      </c>
      <c r="F287" s="24">
        <v>1</v>
      </c>
      <c r="G287" s="26">
        <v>399</v>
      </c>
      <c r="H287" s="24" t="s">
        <v>116</v>
      </c>
      <c r="I287" s="24" t="s">
        <v>54</v>
      </c>
      <c r="J287" s="24" t="s">
        <v>62</v>
      </c>
      <c r="K287" s="24" t="s">
        <v>69</v>
      </c>
    </row>
    <row r="288" spans="1:11" x14ac:dyDescent="0.3">
      <c r="A288" s="24" t="s">
        <v>510</v>
      </c>
      <c r="B288" s="25">
        <v>46281</v>
      </c>
      <c r="C288" s="24" t="s">
        <v>37</v>
      </c>
      <c r="D288" s="24" t="s">
        <v>29</v>
      </c>
      <c r="E288" s="26">
        <v>3499</v>
      </c>
      <c r="F288" s="24">
        <v>2</v>
      </c>
      <c r="G288" s="26">
        <v>6998</v>
      </c>
      <c r="H288" s="24" t="s">
        <v>115</v>
      </c>
      <c r="I288" s="24" t="s">
        <v>346</v>
      </c>
      <c r="J288" s="24" t="s">
        <v>61</v>
      </c>
      <c r="K288" s="24" t="s">
        <v>67</v>
      </c>
    </row>
    <row r="289" spans="1:11" x14ac:dyDescent="0.3">
      <c r="A289" s="24" t="s">
        <v>511</v>
      </c>
      <c r="B289" s="25">
        <v>46281</v>
      </c>
      <c r="C289" s="24" t="s">
        <v>512</v>
      </c>
      <c r="D289" s="24" t="s">
        <v>31</v>
      </c>
      <c r="E289" s="26">
        <v>599</v>
      </c>
      <c r="F289" s="24">
        <v>2</v>
      </c>
      <c r="G289" s="26">
        <v>1198</v>
      </c>
      <c r="H289" s="24" t="s">
        <v>110</v>
      </c>
      <c r="I289" s="24" t="s">
        <v>59</v>
      </c>
      <c r="J289" s="24" t="s">
        <v>61</v>
      </c>
      <c r="K289" s="24" t="s">
        <v>67</v>
      </c>
    </row>
    <row r="290" spans="1:11" x14ac:dyDescent="0.3">
      <c r="A290" s="24" t="s">
        <v>513</v>
      </c>
      <c r="B290" s="25">
        <v>46281</v>
      </c>
      <c r="C290" s="24" t="s">
        <v>514</v>
      </c>
      <c r="D290" s="24" t="s">
        <v>30</v>
      </c>
      <c r="E290" s="26">
        <v>2199</v>
      </c>
      <c r="F290" s="24">
        <v>1</v>
      </c>
      <c r="G290" s="26">
        <v>2199</v>
      </c>
      <c r="H290" s="24" t="s">
        <v>80</v>
      </c>
      <c r="I290" s="24" t="s">
        <v>50</v>
      </c>
      <c r="J290" s="24" t="s">
        <v>61</v>
      </c>
      <c r="K290" s="24" t="s">
        <v>67</v>
      </c>
    </row>
    <row r="291" spans="1:11" x14ac:dyDescent="0.3">
      <c r="A291" s="24" t="s">
        <v>515</v>
      </c>
      <c r="B291" s="25">
        <v>46281</v>
      </c>
      <c r="C291" s="24" t="s">
        <v>44</v>
      </c>
      <c r="D291" s="24" t="s">
        <v>29</v>
      </c>
      <c r="E291" s="26">
        <v>499</v>
      </c>
      <c r="F291" s="24">
        <v>1</v>
      </c>
      <c r="G291" s="26">
        <v>499</v>
      </c>
      <c r="H291" s="24" t="s">
        <v>80</v>
      </c>
      <c r="I291" s="24" t="s">
        <v>50</v>
      </c>
      <c r="J291" s="24" t="s">
        <v>61</v>
      </c>
      <c r="K291" s="24" t="s">
        <v>67</v>
      </c>
    </row>
    <row r="292" spans="1:11" x14ac:dyDescent="0.3">
      <c r="A292" s="24" t="s">
        <v>516</v>
      </c>
      <c r="B292" s="25">
        <v>46281</v>
      </c>
      <c r="C292" s="24" t="s">
        <v>44</v>
      </c>
      <c r="D292" s="24" t="s">
        <v>29</v>
      </c>
      <c r="E292" s="26">
        <v>499</v>
      </c>
      <c r="F292" s="24">
        <v>1</v>
      </c>
      <c r="G292" s="26">
        <v>499</v>
      </c>
      <c r="H292" s="24" t="s">
        <v>517</v>
      </c>
      <c r="I292" s="24" t="s">
        <v>54</v>
      </c>
      <c r="J292" s="24" t="s">
        <v>61</v>
      </c>
      <c r="K292" s="24" t="s">
        <v>67</v>
      </c>
    </row>
    <row r="293" spans="1:11" x14ac:dyDescent="0.3">
      <c r="A293" s="24" t="s">
        <v>518</v>
      </c>
      <c r="B293" s="25">
        <v>46281</v>
      </c>
      <c r="C293" s="24" t="s">
        <v>48</v>
      </c>
      <c r="D293" s="24" t="s">
        <v>32</v>
      </c>
      <c r="E293" s="26">
        <v>399</v>
      </c>
      <c r="F293" s="24">
        <v>1</v>
      </c>
      <c r="G293" s="26">
        <v>399</v>
      </c>
      <c r="H293" s="24" t="s">
        <v>94</v>
      </c>
      <c r="I293" s="24" t="s">
        <v>53</v>
      </c>
      <c r="J293" s="24" t="s">
        <v>61</v>
      </c>
      <c r="K293" s="24" t="s">
        <v>67</v>
      </c>
    </row>
    <row r="294" spans="1:11" x14ac:dyDescent="0.3">
      <c r="A294" s="24" t="s">
        <v>519</v>
      </c>
      <c r="B294" s="25">
        <v>46282</v>
      </c>
      <c r="C294" s="24" t="s">
        <v>43</v>
      </c>
      <c r="D294" s="24" t="s">
        <v>28</v>
      </c>
      <c r="E294" s="26">
        <v>1299</v>
      </c>
      <c r="F294" s="24">
        <v>1</v>
      </c>
      <c r="G294" s="26">
        <v>1299</v>
      </c>
      <c r="H294" s="24" t="s">
        <v>102</v>
      </c>
      <c r="I294" s="24" t="s">
        <v>58</v>
      </c>
      <c r="J294" s="24" t="s">
        <v>64</v>
      </c>
      <c r="K294" s="24" t="s">
        <v>67</v>
      </c>
    </row>
    <row r="295" spans="1:11" x14ac:dyDescent="0.3">
      <c r="A295" s="24" t="s">
        <v>520</v>
      </c>
      <c r="B295" s="25">
        <v>46282</v>
      </c>
      <c r="C295" s="24" t="s">
        <v>43</v>
      </c>
      <c r="D295" s="24" t="s">
        <v>28</v>
      </c>
      <c r="E295" s="26">
        <v>1299</v>
      </c>
      <c r="F295" s="24">
        <v>2</v>
      </c>
      <c r="G295" s="26">
        <v>2598</v>
      </c>
      <c r="H295" s="24" t="s">
        <v>72</v>
      </c>
      <c r="I295" s="24" t="s">
        <v>402</v>
      </c>
      <c r="J295" s="24" t="s">
        <v>65</v>
      </c>
      <c r="K295" s="24" t="s">
        <v>67</v>
      </c>
    </row>
    <row r="296" spans="1:11" x14ac:dyDescent="0.3">
      <c r="A296" s="24" t="s">
        <v>521</v>
      </c>
      <c r="B296" s="25">
        <v>46282</v>
      </c>
      <c r="C296" s="24" t="s">
        <v>334</v>
      </c>
      <c r="D296" s="24" t="s">
        <v>29</v>
      </c>
      <c r="E296" s="26">
        <v>499</v>
      </c>
      <c r="F296" s="24">
        <v>1</v>
      </c>
      <c r="G296" s="26">
        <v>499</v>
      </c>
      <c r="H296" s="24" t="s">
        <v>72</v>
      </c>
      <c r="I296" s="24" t="s">
        <v>59</v>
      </c>
      <c r="J296" s="24" t="s">
        <v>65</v>
      </c>
      <c r="K296" s="24" t="s">
        <v>67</v>
      </c>
    </row>
    <row r="297" spans="1:11" x14ac:dyDescent="0.3">
      <c r="A297" s="24" t="s">
        <v>522</v>
      </c>
      <c r="B297" s="25">
        <v>46282</v>
      </c>
      <c r="C297" s="24" t="s">
        <v>48</v>
      </c>
      <c r="D297" s="24" t="s">
        <v>32</v>
      </c>
      <c r="E297" s="26">
        <v>399</v>
      </c>
      <c r="F297" s="24">
        <v>3</v>
      </c>
      <c r="G297" s="26">
        <v>1197</v>
      </c>
      <c r="H297" s="24" t="s">
        <v>95</v>
      </c>
      <c r="I297" s="24" t="s">
        <v>52</v>
      </c>
      <c r="J297" s="24" t="s">
        <v>63</v>
      </c>
      <c r="K297" s="24" t="s">
        <v>67</v>
      </c>
    </row>
    <row r="298" spans="1:11" x14ac:dyDescent="0.3">
      <c r="A298" s="24" t="s">
        <v>523</v>
      </c>
      <c r="B298" s="25">
        <v>46282</v>
      </c>
      <c r="C298" s="24" t="s">
        <v>47</v>
      </c>
      <c r="D298" s="24" t="s">
        <v>32</v>
      </c>
      <c r="E298" s="26">
        <v>699</v>
      </c>
      <c r="F298" s="24">
        <v>1</v>
      </c>
      <c r="G298" s="26">
        <v>699</v>
      </c>
      <c r="H298" s="24" t="s">
        <v>110</v>
      </c>
      <c r="I298" s="24" t="s">
        <v>59</v>
      </c>
      <c r="J298" s="24" t="s">
        <v>61</v>
      </c>
      <c r="K298" s="24" t="s">
        <v>67</v>
      </c>
    </row>
    <row r="299" spans="1:11" x14ac:dyDescent="0.3">
      <c r="A299" s="24" t="s">
        <v>524</v>
      </c>
      <c r="B299" s="25">
        <v>46282</v>
      </c>
      <c r="C299" s="24" t="s">
        <v>38</v>
      </c>
      <c r="D299" s="24" t="s">
        <v>28</v>
      </c>
      <c r="E299" s="26">
        <v>2499</v>
      </c>
      <c r="F299" s="24">
        <v>2</v>
      </c>
      <c r="G299" s="26">
        <v>4998</v>
      </c>
      <c r="H299" s="24" t="s">
        <v>105</v>
      </c>
      <c r="I299" s="24" t="s">
        <v>449</v>
      </c>
      <c r="J299" s="24" t="s">
        <v>61</v>
      </c>
      <c r="K299" s="24" t="s">
        <v>69</v>
      </c>
    </row>
    <row r="300" spans="1:11" x14ac:dyDescent="0.3">
      <c r="A300" s="24" t="s">
        <v>525</v>
      </c>
      <c r="B300" s="25">
        <v>46282</v>
      </c>
      <c r="C300" s="24" t="s">
        <v>48</v>
      </c>
      <c r="D300" s="24" t="s">
        <v>32</v>
      </c>
      <c r="E300" s="26">
        <v>399</v>
      </c>
      <c r="F300" s="24">
        <v>1</v>
      </c>
      <c r="G300" s="26">
        <v>399</v>
      </c>
      <c r="H300" s="24" t="s">
        <v>94</v>
      </c>
      <c r="I300" s="24" t="s">
        <v>53</v>
      </c>
      <c r="J300" s="24" t="s">
        <v>61</v>
      </c>
      <c r="K300" s="24" t="s">
        <v>67</v>
      </c>
    </row>
    <row r="301" spans="1:11" x14ac:dyDescent="0.3">
      <c r="A301" s="24" t="s">
        <v>526</v>
      </c>
      <c r="B301" s="25">
        <v>46282</v>
      </c>
      <c r="C301" s="24" t="s">
        <v>44</v>
      </c>
      <c r="D301" s="24" t="s">
        <v>29</v>
      </c>
      <c r="E301" s="26">
        <v>499</v>
      </c>
      <c r="F301" s="24">
        <v>1</v>
      </c>
      <c r="G301" s="26">
        <v>499</v>
      </c>
      <c r="H301" s="24" t="s">
        <v>123</v>
      </c>
      <c r="I301" s="24" t="s">
        <v>55</v>
      </c>
      <c r="J301" s="24" t="s">
        <v>61</v>
      </c>
      <c r="K301" s="24" t="s">
        <v>67</v>
      </c>
    </row>
    <row r="302" spans="1:11" x14ac:dyDescent="0.3">
      <c r="A302" s="24" t="s">
        <v>527</v>
      </c>
      <c r="B302" s="25">
        <v>46282</v>
      </c>
      <c r="C302" s="24" t="s">
        <v>41</v>
      </c>
      <c r="D302" s="24" t="s">
        <v>31</v>
      </c>
      <c r="E302" s="26">
        <v>1799</v>
      </c>
      <c r="F302" s="24">
        <v>1</v>
      </c>
      <c r="G302" s="26">
        <v>1799</v>
      </c>
      <c r="H302" s="24" t="s">
        <v>95</v>
      </c>
      <c r="I302" s="24" t="s">
        <v>52</v>
      </c>
      <c r="J302" s="24" t="s">
        <v>63</v>
      </c>
      <c r="K302" s="24" t="s">
        <v>67</v>
      </c>
    </row>
    <row r="303" spans="1:11" x14ac:dyDescent="0.3">
      <c r="A303" s="24" t="s">
        <v>528</v>
      </c>
      <c r="B303" s="25">
        <v>46282</v>
      </c>
      <c r="C303" s="24" t="s">
        <v>143</v>
      </c>
      <c r="D303" s="24" t="s">
        <v>29</v>
      </c>
      <c r="E303" s="26">
        <v>3499</v>
      </c>
      <c r="F303" s="24">
        <v>4</v>
      </c>
      <c r="G303" s="26">
        <v>13996</v>
      </c>
      <c r="H303" s="24" t="s">
        <v>102</v>
      </c>
      <c r="I303" s="24" t="s">
        <v>58</v>
      </c>
      <c r="J303" s="24" t="s">
        <v>61</v>
      </c>
      <c r="K303" s="24" t="s">
        <v>163</v>
      </c>
    </row>
    <row r="304" spans="1:11" x14ac:dyDescent="0.3">
      <c r="A304" s="24" t="s">
        <v>529</v>
      </c>
      <c r="B304" s="25">
        <v>46282</v>
      </c>
      <c r="C304" s="24" t="s">
        <v>35</v>
      </c>
      <c r="D304" s="24" t="s">
        <v>28</v>
      </c>
      <c r="E304" s="26">
        <v>4999</v>
      </c>
      <c r="F304" s="24">
        <v>1</v>
      </c>
      <c r="G304" s="26">
        <v>4999</v>
      </c>
      <c r="H304" s="24" t="s">
        <v>86</v>
      </c>
      <c r="I304" s="24" t="s">
        <v>50</v>
      </c>
      <c r="J304" s="24" t="s">
        <v>62</v>
      </c>
      <c r="K304" s="24" t="s">
        <v>67</v>
      </c>
    </row>
    <row r="305" spans="1:11" x14ac:dyDescent="0.3">
      <c r="A305" s="24" t="s">
        <v>530</v>
      </c>
      <c r="B305" s="25">
        <v>46282</v>
      </c>
      <c r="C305" s="24" t="s">
        <v>45</v>
      </c>
      <c r="D305" s="24" t="s">
        <v>30</v>
      </c>
      <c r="E305" s="26">
        <v>899</v>
      </c>
      <c r="F305" s="24">
        <v>1</v>
      </c>
      <c r="G305" s="26">
        <v>899</v>
      </c>
      <c r="H305" s="24" t="s">
        <v>86</v>
      </c>
      <c r="I305" s="24" t="s">
        <v>50</v>
      </c>
      <c r="J305" s="24" t="s">
        <v>62</v>
      </c>
      <c r="K305" s="24" t="s">
        <v>67</v>
      </c>
    </row>
    <row r="306" spans="1:11" x14ac:dyDescent="0.3">
      <c r="A306" s="24" t="s">
        <v>531</v>
      </c>
      <c r="B306" s="25">
        <v>46283</v>
      </c>
      <c r="C306" s="24" t="s">
        <v>41</v>
      </c>
      <c r="D306" s="24" t="s">
        <v>31</v>
      </c>
      <c r="E306" s="26">
        <v>1799</v>
      </c>
      <c r="F306" s="24">
        <v>4</v>
      </c>
      <c r="G306" s="26">
        <v>7196</v>
      </c>
      <c r="H306" s="24" t="s">
        <v>76</v>
      </c>
      <c r="I306" s="24" t="s">
        <v>53</v>
      </c>
      <c r="J306" s="24" t="s">
        <v>61</v>
      </c>
      <c r="K306" s="24" t="s">
        <v>67</v>
      </c>
    </row>
    <row r="307" spans="1:11" x14ac:dyDescent="0.3">
      <c r="A307" s="24" t="s">
        <v>532</v>
      </c>
      <c r="B307" s="25">
        <v>46283</v>
      </c>
      <c r="C307" s="24" t="s">
        <v>43</v>
      </c>
      <c r="D307" s="24" t="s">
        <v>28</v>
      </c>
      <c r="E307" s="26">
        <v>1299</v>
      </c>
      <c r="F307" s="24">
        <v>1</v>
      </c>
      <c r="G307" s="26">
        <v>1299</v>
      </c>
      <c r="H307" s="24" t="s">
        <v>102</v>
      </c>
      <c r="I307" s="24" t="s">
        <v>58</v>
      </c>
      <c r="J307" s="24" t="s">
        <v>63</v>
      </c>
      <c r="K307" s="24" t="s">
        <v>67</v>
      </c>
    </row>
    <row r="308" spans="1:11" x14ac:dyDescent="0.3">
      <c r="A308" s="24" t="s">
        <v>533</v>
      </c>
      <c r="B308" s="25">
        <v>46283</v>
      </c>
      <c r="C308" s="24" t="s">
        <v>43</v>
      </c>
      <c r="D308" s="24" t="s">
        <v>28</v>
      </c>
      <c r="E308" s="26">
        <v>1299</v>
      </c>
      <c r="F308" s="24">
        <v>4</v>
      </c>
      <c r="G308" s="26">
        <v>5196</v>
      </c>
      <c r="H308" s="24" t="s">
        <v>79</v>
      </c>
      <c r="I308" s="24" t="s">
        <v>50</v>
      </c>
      <c r="J308" s="24" t="s">
        <v>62</v>
      </c>
      <c r="K308" s="24" t="s">
        <v>67</v>
      </c>
    </row>
    <row r="309" spans="1:11" x14ac:dyDescent="0.3">
      <c r="A309" s="24" t="s">
        <v>534</v>
      </c>
      <c r="B309" s="25">
        <v>46283</v>
      </c>
      <c r="C309" s="24" t="s">
        <v>396</v>
      </c>
      <c r="D309" s="24" t="s">
        <v>29</v>
      </c>
      <c r="E309" s="26">
        <v>499</v>
      </c>
      <c r="F309" s="24">
        <v>3</v>
      </c>
      <c r="G309" s="26">
        <v>1497</v>
      </c>
      <c r="H309" s="24" t="s">
        <v>104</v>
      </c>
      <c r="I309" s="24" t="s">
        <v>51</v>
      </c>
      <c r="J309" s="24" t="s">
        <v>63</v>
      </c>
      <c r="K309" s="24" t="s">
        <v>67</v>
      </c>
    </row>
    <row r="310" spans="1:11" x14ac:dyDescent="0.3">
      <c r="A310" s="24" t="s">
        <v>535</v>
      </c>
      <c r="B310" s="25">
        <v>46283</v>
      </c>
      <c r="C310" s="24" t="s">
        <v>48</v>
      </c>
      <c r="D310" s="24" t="s">
        <v>32</v>
      </c>
      <c r="E310" s="26">
        <v>399</v>
      </c>
      <c r="F310" s="24">
        <v>3</v>
      </c>
      <c r="G310" s="26">
        <v>1197</v>
      </c>
      <c r="H310" s="24" t="s">
        <v>115</v>
      </c>
      <c r="I310" s="24" t="s">
        <v>57</v>
      </c>
      <c r="J310" s="24" t="s">
        <v>61</v>
      </c>
      <c r="K310" s="24" t="s">
        <v>67</v>
      </c>
    </row>
    <row r="311" spans="1:11" x14ac:dyDescent="0.3">
      <c r="A311" s="24" t="s">
        <v>536</v>
      </c>
      <c r="B311" s="25">
        <v>46283</v>
      </c>
      <c r="C311" s="24" t="s">
        <v>43</v>
      </c>
      <c r="D311" s="24" t="s">
        <v>28</v>
      </c>
      <c r="E311" s="26">
        <v>1299</v>
      </c>
      <c r="F311" s="24">
        <v>1</v>
      </c>
      <c r="G311" s="26">
        <v>1299</v>
      </c>
      <c r="H311" s="24" t="s">
        <v>128</v>
      </c>
      <c r="I311" s="24" t="s">
        <v>57</v>
      </c>
      <c r="J311" s="24" t="s">
        <v>61</v>
      </c>
      <c r="K311" s="24" t="s">
        <v>67</v>
      </c>
    </row>
    <row r="312" spans="1:11" x14ac:dyDescent="0.3">
      <c r="A312" s="24" t="s">
        <v>537</v>
      </c>
      <c r="B312" s="25">
        <v>46283</v>
      </c>
      <c r="C312" s="24" t="s">
        <v>43</v>
      </c>
      <c r="D312" s="24" t="s">
        <v>28</v>
      </c>
      <c r="E312" s="26">
        <v>1299</v>
      </c>
      <c r="F312" s="24">
        <v>4</v>
      </c>
      <c r="G312" s="26">
        <v>5196</v>
      </c>
      <c r="H312" s="24" t="s">
        <v>80</v>
      </c>
      <c r="I312" s="24" t="s">
        <v>50</v>
      </c>
      <c r="J312" s="24" t="s">
        <v>61</v>
      </c>
      <c r="K312" s="24" t="s">
        <v>67</v>
      </c>
    </row>
    <row r="313" spans="1:11" x14ac:dyDescent="0.3">
      <c r="A313" s="24" t="s">
        <v>538</v>
      </c>
      <c r="B313" s="25">
        <v>46283</v>
      </c>
      <c r="C313" s="24" t="s">
        <v>539</v>
      </c>
      <c r="D313" s="24" t="s">
        <v>29</v>
      </c>
      <c r="E313" s="26">
        <v>499</v>
      </c>
      <c r="F313" s="24">
        <v>1</v>
      </c>
      <c r="G313" s="26">
        <v>499</v>
      </c>
      <c r="H313" s="24" t="s">
        <v>78</v>
      </c>
      <c r="I313" s="24" t="s">
        <v>53</v>
      </c>
      <c r="J313" s="24" t="s">
        <v>62</v>
      </c>
      <c r="K313" s="24" t="s">
        <v>67</v>
      </c>
    </row>
    <row r="314" spans="1:11" x14ac:dyDescent="0.3">
      <c r="A314" s="24" t="s">
        <v>540</v>
      </c>
      <c r="B314" s="25">
        <v>46283</v>
      </c>
      <c r="C314" s="24" t="s">
        <v>36</v>
      </c>
      <c r="D314" s="24" t="s">
        <v>30</v>
      </c>
      <c r="E314" s="26">
        <v>3299</v>
      </c>
      <c r="F314" s="24">
        <v>3</v>
      </c>
      <c r="G314" s="26">
        <v>9897</v>
      </c>
      <c r="H314" s="24" t="s">
        <v>121</v>
      </c>
      <c r="I314" s="24" t="s">
        <v>55</v>
      </c>
      <c r="J314" s="24" t="s">
        <v>62</v>
      </c>
      <c r="K314" s="24" t="s">
        <v>67</v>
      </c>
    </row>
    <row r="315" spans="1:11" x14ac:dyDescent="0.3">
      <c r="A315" s="24" t="s">
        <v>541</v>
      </c>
      <c r="B315" s="25">
        <v>46283</v>
      </c>
      <c r="C315" s="24" t="s">
        <v>44</v>
      </c>
      <c r="D315" s="24" t="s">
        <v>29</v>
      </c>
      <c r="E315" s="26">
        <v>499</v>
      </c>
      <c r="F315" s="24">
        <v>1</v>
      </c>
      <c r="G315" s="26">
        <v>499</v>
      </c>
      <c r="H315" s="24" t="s">
        <v>94</v>
      </c>
      <c r="I315" s="24" t="s">
        <v>169</v>
      </c>
      <c r="J315" s="24" t="s">
        <v>65</v>
      </c>
      <c r="K315" s="24" t="s">
        <v>69</v>
      </c>
    </row>
    <row r="316" spans="1:11" x14ac:dyDescent="0.3">
      <c r="A316" s="24" t="s">
        <v>542</v>
      </c>
      <c r="B316" s="25">
        <v>46283</v>
      </c>
      <c r="C316" s="24" t="s">
        <v>43</v>
      </c>
      <c r="D316" s="24" t="s">
        <v>28</v>
      </c>
      <c r="E316" s="26">
        <v>1299</v>
      </c>
      <c r="F316" s="24">
        <v>1</v>
      </c>
      <c r="G316" s="26">
        <v>1299</v>
      </c>
      <c r="H316" s="24" t="s">
        <v>115</v>
      </c>
      <c r="I316" s="24" t="s">
        <v>57</v>
      </c>
      <c r="J316" s="24" t="s">
        <v>61</v>
      </c>
      <c r="K316" s="24" t="s">
        <v>163</v>
      </c>
    </row>
    <row r="317" spans="1:11" x14ac:dyDescent="0.3">
      <c r="A317" s="24" t="s">
        <v>543</v>
      </c>
      <c r="B317" s="25">
        <v>46283</v>
      </c>
      <c r="C317" s="24" t="s">
        <v>42</v>
      </c>
      <c r="D317" s="24" t="s">
        <v>28</v>
      </c>
      <c r="E317" s="26">
        <v>1999</v>
      </c>
      <c r="F317" s="24">
        <v>1</v>
      </c>
      <c r="G317" s="26">
        <v>1999</v>
      </c>
      <c r="H317" s="24" t="s">
        <v>131</v>
      </c>
      <c r="I317" s="24" t="s">
        <v>50</v>
      </c>
      <c r="J317" s="24" t="s">
        <v>62</v>
      </c>
      <c r="K317" s="24" t="s">
        <v>67</v>
      </c>
    </row>
    <row r="318" spans="1:11" x14ac:dyDescent="0.3">
      <c r="A318" s="24" t="s">
        <v>544</v>
      </c>
      <c r="B318" s="25">
        <v>46283</v>
      </c>
      <c r="C318" s="24" t="s">
        <v>38</v>
      </c>
      <c r="D318" s="24" t="s">
        <v>28</v>
      </c>
      <c r="E318" s="26">
        <v>2499</v>
      </c>
      <c r="F318" s="24">
        <v>1</v>
      </c>
      <c r="G318" s="26">
        <v>2499</v>
      </c>
      <c r="H318" s="24" t="s">
        <v>98</v>
      </c>
      <c r="I318" s="24" t="s">
        <v>51</v>
      </c>
      <c r="J318" s="24" t="s">
        <v>63</v>
      </c>
      <c r="K318" s="24" t="s">
        <v>67</v>
      </c>
    </row>
    <row r="319" spans="1:11" x14ac:dyDescent="0.3">
      <c r="A319" s="24" t="s">
        <v>545</v>
      </c>
      <c r="B319" s="25">
        <v>46283</v>
      </c>
      <c r="C319" s="24" t="s">
        <v>405</v>
      </c>
      <c r="D319" s="24" t="s">
        <v>30</v>
      </c>
      <c r="E319" s="26">
        <v>3299</v>
      </c>
      <c r="F319" s="24">
        <v>1</v>
      </c>
      <c r="G319" s="26">
        <v>3299</v>
      </c>
      <c r="H319" s="24" t="s">
        <v>101</v>
      </c>
      <c r="I319" s="24" t="s">
        <v>52</v>
      </c>
      <c r="J319" s="24" t="s">
        <v>62</v>
      </c>
      <c r="K319" s="24" t="s">
        <v>67</v>
      </c>
    </row>
    <row r="320" spans="1:11" x14ac:dyDescent="0.3">
      <c r="A320" s="24" t="s">
        <v>546</v>
      </c>
      <c r="B320" s="25">
        <v>46283</v>
      </c>
      <c r="C320" s="24" t="s">
        <v>547</v>
      </c>
      <c r="D320" s="24" t="s">
        <v>30</v>
      </c>
      <c r="E320" s="26">
        <v>899</v>
      </c>
      <c r="F320" s="24">
        <v>1</v>
      </c>
      <c r="G320" s="26">
        <v>899</v>
      </c>
      <c r="H320" s="24" t="s">
        <v>93</v>
      </c>
      <c r="I320" s="24" t="s">
        <v>55</v>
      </c>
      <c r="J320" s="24" t="s">
        <v>63</v>
      </c>
      <c r="K320" s="24" t="s">
        <v>67</v>
      </c>
    </row>
    <row r="321" spans="1:11" x14ac:dyDescent="0.3">
      <c r="A321" s="24" t="s">
        <v>548</v>
      </c>
      <c r="B321" s="25">
        <v>46283</v>
      </c>
      <c r="C321" s="24" t="s">
        <v>44</v>
      </c>
      <c r="D321" s="24" t="s">
        <v>29</v>
      </c>
      <c r="E321" s="26">
        <v>499</v>
      </c>
      <c r="F321" s="24">
        <v>2</v>
      </c>
      <c r="G321" s="26">
        <v>998</v>
      </c>
      <c r="H321" s="24" t="s">
        <v>83</v>
      </c>
      <c r="I321" s="24" t="s">
        <v>51</v>
      </c>
      <c r="J321" s="24" t="s">
        <v>61</v>
      </c>
      <c r="K321" s="24" t="s">
        <v>67</v>
      </c>
    </row>
    <row r="322" spans="1:11" x14ac:dyDescent="0.3">
      <c r="A322" s="24" t="s">
        <v>549</v>
      </c>
      <c r="B322" s="25">
        <v>46283</v>
      </c>
      <c r="C322" s="24" t="s">
        <v>547</v>
      </c>
      <c r="D322" s="24" t="s">
        <v>30</v>
      </c>
      <c r="E322" s="26">
        <v>899</v>
      </c>
      <c r="F322" s="24">
        <v>1</v>
      </c>
      <c r="G322" s="26">
        <v>899</v>
      </c>
      <c r="H322" s="24" t="s">
        <v>96</v>
      </c>
      <c r="I322" s="24" t="s">
        <v>53</v>
      </c>
      <c r="J322" s="24" t="s">
        <v>63</v>
      </c>
      <c r="K322" s="24" t="s">
        <v>67</v>
      </c>
    </row>
    <row r="323" spans="1:11" x14ac:dyDescent="0.3">
      <c r="A323" s="24" t="s">
        <v>550</v>
      </c>
      <c r="B323" s="25">
        <v>46283</v>
      </c>
      <c r="C323" s="24" t="s">
        <v>35</v>
      </c>
      <c r="D323" s="24" t="s">
        <v>28</v>
      </c>
      <c r="E323" s="26">
        <v>4999</v>
      </c>
      <c r="F323" s="24">
        <v>1</v>
      </c>
      <c r="G323" s="26">
        <v>4999</v>
      </c>
      <c r="H323" s="24" t="s">
        <v>121</v>
      </c>
      <c r="I323" s="24" t="s">
        <v>55</v>
      </c>
      <c r="J323" s="24" t="s">
        <v>64</v>
      </c>
      <c r="K323" s="24" t="s">
        <v>67</v>
      </c>
    </row>
    <row r="324" spans="1:11" x14ac:dyDescent="0.3">
      <c r="A324" s="24" t="s">
        <v>551</v>
      </c>
      <c r="B324" s="25">
        <v>46283</v>
      </c>
      <c r="C324" s="24" t="s">
        <v>42</v>
      </c>
      <c r="D324" s="24" t="s">
        <v>28</v>
      </c>
      <c r="E324" s="26">
        <v>1999</v>
      </c>
      <c r="F324" s="24">
        <v>1</v>
      </c>
      <c r="G324" s="26">
        <v>1999</v>
      </c>
      <c r="H324" s="24" t="s">
        <v>94</v>
      </c>
      <c r="I324" s="24" t="s">
        <v>53</v>
      </c>
      <c r="J324" s="24" t="s">
        <v>61</v>
      </c>
      <c r="K324" s="24" t="s">
        <v>67</v>
      </c>
    </row>
    <row r="325" spans="1:11" x14ac:dyDescent="0.3">
      <c r="A325" s="24" t="s">
        <v>552</v>
      </c>
      <c r="B325" s="25">
        <v>46283</v>
      </c>
      <c r="C325" s="24" t="s">
        <v>46</v>
      </c>
      <c r="D325" s="24" t="s">
        <v>31</v>
      </c>
      <c r="E325" s="26">
        <v>599</v>
      </c>
      <c r="F325" s="24">
        <v>1</v>
      </c>
      <c r="G325" s="26">
        <v>599</v>
      </c>
      <c r="H325" s="24" t="s">
        <v>95</v>
      </c>
      <c r="I325" s="24" t="s">
        <v>52</v>
      </c>
      <c r="J325" s="24" t="s">
        <v>62</v>
      </c>
      <c r="K325" s="24" t="s">
        <v>69</v>
      </c>
    </row>
    <row r="326" spans="1:11" x14ac:dyDescent="0.3">
      <c r="A326" s="24" t="s">
        <v>553</v>
      </c>
      <c r="B326" s="25">
        <v>46284</v>
      </c>
      <c r="C326" s="24" t="s">
        <v>35</v>
      </c>
      <c r="D326" s="24" t="s">
        <v>28</v>
      </c>
      <c r="E326" s="26">
        <v>4999</v>
      </c>
      <c r="F326" s="24">
        <v>1</v>
      </c>
      <c r="G326" s="26">
        <v>4999</v>
      </c>
      <c r="H326" s="24" t="s">
        <v>75</v>
      </c>
      <c r="I326" s="24" t="s">
        <v>51</v>
      </c>
      <c r="J326" s="24" t="s">
        <v>62</v>
      </c>
      <c r="K326" s="24" t="s">
        <v>67</v>
      </c>
    </row>
    <row r="327" spans="1:11" x14ac:dyDescent="0.3">
      <c r="A327" s="24" t="s">
        <v>554</v>
      </c>
      <c r="B327" s="25">
        <v>46284</v>
      </c>
      <c r="C327" s="24" t="s">
        <v>46</v>
      </c>
      <c r="D327" s="24" t="s">
        <v>31</v>
      </c>
      <c r="E327" s="26">
        <v>599</v>
      </c>
      <c r="F327" s="24">
        <v>1</v>
      </c>
      <c r="G327" s="26">
        <v>599</v>
      </c>
      <c r="H327" s="24" t="s">
        <v>128</v>
      </c>
      <c r="I327" s="24" t="s">
        <v>57</v>
      </c>
      <c r="J327" s="24" t="s">
        <v>61</v>
      </c>
      <c r="K327" s="24" t="s">
        <v>67</v>
      </c>
    </row>
    <row r="328" spans="1:11" x14ac:dyDescent="0.3">
      <c r="A328" s="24" t="s">
        <v>555</v>
      </c>
      <c r="B328" s="25">
        <v>46284</v>
      </c>
      <c r="C328" s="24" t="s">
        <v>44</v>
      </c>
      <c r="D328" s="24" t="s">
        <v>29</v>
      </c>
      <c r="E328" s="26">
        <v>499</v>
      </c>
      <c r="F328" s="24">
        <v>1</v>
      </c>
      <c r="G328" s="26">
        <v>499</v>
      </c>
      <c r="H328" s="24" t="s">
        <v>109</v>
      </c>
      <c r="I328" s="24" t="s">
        <v>53</v>
      </c>
      <c r="J328" s="24" t="s">
        <v>63</v>
      </c>
      <c r="K328" s="24" t="s">
        <v>68</v>
      </c>
    </row>
    <row r="329" spans="1:11" x14ac:dyDescent="0.3">
      <c r="A329" s="24" t="s">
        <v>556</v>
      </c>
      <c r="B329" s="25">
        <v>46284</v>
      </c>
      <c r="C329" s="24" t="s">
        <v>35</v>
      </c>
      <c r="D329" s="24" t="s">
        <v>28</v>
      </c>
      <c r="E329" s="26">
        <v>4999</v>
      </c>
      <c r="F329" s="24">
        <v>1</v>
      </c>
      <c r="G329" s="26">
        <v>4999</v>
      </c>
      <c r="H329" s="24" t="s">
        <v>95</v>
      </c>
      <c r="I329" s="24" t="s">
        <v>52</v>
      </c>
      <c r="J329" s="24" t="s">
        <v>63</v>
      </c>
      <c r="K329" s="24" t="s">
        <v>67</v>
      </c>
    </row>
    <row r="330" spans="1:11" x14ac:dyDescent="0.3">
      <c r="A330" s="24" t="s">
        <v>557</v>
      </c>
      <c r="B330" s="25">
        <v>46284</v>
      </c>
      <c r="C330" s="24" t="s">
        <v>44</v>
      </c>
      <c r="D330" s="24" t="s">
        <v>29</v>
      </c>
      <c r="E330" s="26">
        <v>499</v>
      </c>
      <c r="F330" s="24">
        <v>3</v>
      </c>
      <c r="G330" s="26">
        <v>1497</v>
      </c>
      <c r="H330" s="24" t="s">
        <v>120</v>
      </c>
      <c r="I330" s="24" t="s">
        <v>52</v>
      </c>
      <c r="J330" s="24" t="s">
        <v>63</v>
      </c>
      <c r="K330" s="24" t="s">
        <v>67</v>
      </c>
    </row>
    <row r="331" spans="1:11" x14ac:dyDescent="0.3">
      <c r="A331" s="24" t="s">
        <v>558</v>
      </c>
      <c r="B331" s="25">
        <v>46284</v>
      </c>
      <c r="C331" s="24" t="s">
        <v>43</v>
      </c>
      <c r="D331" s="24" t="s">
        <v>28</v>
      </c>
      <c r="E331" s="26">
        <v>1299</v>
      </c>
      <c r="F331" s="24">
        <v>1</v>
      </c>
      <c r="G331" s="26">
        <v>1299</v>
      </c>
      <c r="H331" s="24" t="s">
        <v>559</v>
      </c>
      <c r="I331" s="24" t="s">
        <v>50</v>
      </c>
      <c r="J331" s="24" t="s">
        <v>65</v>
      </c>
      <c r="K331" s="24" t="s">
        <v>67</v>
      </c>
    </row>
    <row r="332" spans="1:11" x14ac:dyDescent="0.3">
      <c r="A332" s="24" t="s">
        <v>560</v>
      </c>
      <c r="B332" s="25">
        <v>46284</v>
      </c>
      <c r="C332" s="24" t="s">
        <v>44</v>
      </c>
      <c r="D332" s="24" t="s">
        <v>29</v>
      </c>
      <c r="E332" s="26">
        <v>499</v>
      </c>
      <c r="F332" s="24">
        <v>2</v>
      </c>
      <c r="G332" s="26">
        <v>998</v>
      </c>
      <c r="H332" s="24" t="s">
        <v>122</v>
      </c>
      <c r="I332" s="24" t="s">
        <v>51</v>
      </c>
      <c r="J332" s="24" t="s">
        <v>64</v>
      </c>
      <c r="K332" s="24" t="s">
        <v>67</v>
      </c>
    </row>
    <row r="333" spans="1:11" x14ac:dyDescent="0.3">
      <c r="A333" s="24" t="s">
        <v>561</v>
      </c>
      <c r="B333" s="25">
        <v>46284</v>
      </c>
      <c r="C333" s="24" t="s">
        <v>46</v>
      </c>
      <c r="D333" s="24" t="s">
        <v>31</v>
      </c>
      <c r="E333" s="26">
        <v>599</v>
      </c>
      <c r="F333" s="24">
        <v>4</v>
      </c>
      <c r="G333" s="26">
        <v>2396</v>
      </c>
      <c r="H333" s="24" t="s">
        <v>91</v>
      </c>
      <c r="I333" s="24" t="s">
        <v>52</v>
      </c>
      <c r="J333" s="24" t="s">
        <v>62</v>
      </c>
      <c r="K333" s="24" t="s">
        <v>67</v>
      </c>
    </row>
    <row r="334" spans="1:11" x14ac:dyDescent="0.3">
      <c r="A334" s="24" t="s">
        <v>562</v>
      </c>
      <c r="B334" s="25">
        <v>46284</v>
      </c>
      <c r="C334" s="24" t="s">
        <v>563</v>
      </c>
      <c r="D334" s="24" t="s">
        <v>31</v>
      </c>
      <c r="E334" s="26">
        <v>1799</v>
      </c>
      <c r="F334" s="24">
        <v>2</v>
      </c>
      <c r="G334" s="26">
        <v>3598</v>
      </c>
      <c r="H334" s="24" t="s">
        <v>108</v>
      </c>
      <c r="I334" s="24" t="s">
        <v>53</v>
      </c>
      <c r="J334" s="24" t="s">
        <v>65</v>
      </c>
      <c r="K334" s="24" t="s">
        <v>163</v>
      </c>
    </row>
    <row r="335" spans="1:11" x14ac:dyDescent="0.3">
      <c r="A335" s="24" t="s">
        <v>564</v>
      </c>
      <c r="B335" s="25">
        <v>46284</v>
      </c>
      <c r="C335" s="24" t="s">
        <v>44</v>
      </c>
      <c r="D335" s="24" t="s">
        <v>29</v>
      </c>
      <c r="E335" s="26">
        <v>499</v>
      </c>
      <c r="F335" s="24">
        <v>3</v>
      </c>
      <c r="G335" s="26">
        <v>1497</v>
      </c>
      <c r="H335" s="24" t="s">
        <v>83</v>
      </c>
      <c r="I335" s="24" t="s">
        <v>51</v>
      </c>
      <c r="J335" s="24" t="s">
        <v>63</v>
      </c>
      <c r="K335" s="24" t="s">
        <v>69</v>
      </c>
    </row>
    <row r="336" spans="1:11" x14ac:dyDescent="0.3">
      <c r="A336" s="24" t="s">
        <v>565</v>
      </c>
      <c r="B336" s="25">
        <v>46284</v>
      </c>
      <c r="C336" s="24" t="s">
        <v>43</v>
      </c>
      <c r="D336" s="24" t="s">
        <v>28</v>
      </c>
      <c r="E336" s="26">
        <v>1299</v>
      </c>
      <c r="F336" s="24">
        <v>1</v>
      </c>
      <c r="G336" s="26">
        <v>1299</v>
      </c>
      <c r="H336" s="24" t="s">
        <v>78</v>
      </c>
      <c r="I336" s="24" t="s">
        <v>53</v>
      </c>
      <c r="J336" s="24" t="s">
        <v>63</v>
      </c>
      <c r="K336" s="24" t="s">
        <v>67</v>
      </c>
    </row>
    <row r="337" spans="1:11" x14ac:dyDescent="0.3">
      <c r="A337" s="24" t="s">
        <v>566</v>
      </c>
      <c r="B337" s="25">
        <v>46284</v>
      </c>
      <c r="C337" s="24" t="s">
        <v>36</v>
      </c>
      <c r="D337" s="24" t="s">
        <v>30</v>
      </c>
      <c r="E337" s="26">
        <v>3299</v>
      </c>
      <c r="F337" s="24">
        <v>1</v>
      </c>
      <c r="G337" s="26">
        <v>3299</v>
      </c>
      <c r="H337" s="24" t="s">
        <v>81</v>
      </c>
      <c r="I337" s="24" t="s">
        <v>51</v>
      </c>
      <c r="J337" s="24" t="s">
        <v>62</v>
      </c>
      <c r="K337" s="24" t="s">
        <v>67</v>
      </c>
    </row>
    <row r="338" spans="1:11" x14ac:dyDescent="0.3">
      <c r="A338" s="24" t="s">
        <v>567</v>
      </c>
      <c r="B338" s="25">
        <v>46284</v>
      </c>
      <c r="C338" s="24" t="s">
        <v>36</v>
      </c>
      <c r="D338" s="24" t="s">
        <v>30</v>
      </c>
      <c r="E338" s="26">
        <v>3299</v>
      </c>
      <c r="F338" s="24">
        <v>1</v>
      </c>
      <c r="G338" s="26">
        <v>3299</v>
      </c>
      <c r="H338" s="24" t="s">
        <v>98</v>
      </c>
      <c r="I338" s="24" t="s">
        <v>150</v>
      </c>
      <c r="J338" s="24" t="s">
        <v>61</v>
      </c>
      <c r="K338" s="24" t="s">
        <v>68</v>
      </c>
    </row>
    <row r="339" spans="1:11" x14ac:dyDescent="0.3">
      <c r="A339" s="24" t="s">
        <v>568</v>
      </c>
      <c r="B339" s="25">
        <v>46284</v>
      </c>
      <c r="C339" s="24" t="s">
        <v>38</v>
      </c>
      <c r="D339" s="24" t="s">
        <v>28</v>
      </c>
      <c r="E339" s="26">
        <v>2499</v>
      </c>
      <c r="F339" s="24">
        <v>1</v>
      </c>
      <c r="G339" s="26">
        <v>2499</v>
      </c>
      <c r="H339" s="24" t="s">
        <v>90</v>
      </c>
      <c r="I339" s="24" t="s">
        <v>52</v>
      </c>
      <c r="J339" s="24" t="s">
        <v>62</v>
      </c>
      <c r="K339" s="24" t="s">
        <v>67</v>
      </c>
    </row>
    <row r="340" spans="1:11" x14ac:dyDescent="0.3">
      <c r="A340" s="24" t="s">
        <v>569</v>
      </c>
      <c r="B340" s="25">
        <v>46284</v>
      </c>
      <c r="C340" s="24" t="s">
        <v>36</v>
      </c>
      <c r="D340" s="24" t="s">
        <v>30</v>
      </c>
      <c r="E340" s="26">
        <v>3299</v>
      </c>
      <c r="F340" s="24">
        <v>3</v>
      </c>
      <c r="G340" s="26">
        <v>9897</v>
      </c>
      <c r="H340" s="24" t="s">
        <v>84</v>
      </c>
      <c r="I340" s="24" t="s">
        <v>54</v>
      </c>
      <c r="J340" s="24" t="s">
        <v>65</v>
      </c>
      <c r="K340" s="24" t="s">
        <v>67</v>
      </c>
    </row>
    <row r="341" spans="1:11" x14ac:dyDescent="0.3">
      <c r="A341" s="24" t="s">
        <v>570</v>
      </c>
      <c r="B341" s="25">
        <v>46284</v>
      </c>
      <c r="C341" s="24" t="s">
        <v>47</v>
      </c>
      <c r="D341" s="24" t="s">
        <v>32</v>
      </c>
      <c r="E341" s="26">
        <v>699</v>
      </c>
      <c r="F341" s="24">
        <v>3</v>
      </c>
      <c r="G341" s="26">
        <v>2097</v>
      </c>
      <c r="H341" s="24" t="s">
        <v>100</v>
      </c>
      <c r="I341" s="24" t="s">
        <v>54</v>
      </c>
      <c r="J341" s="24" t="s">
        <v>63</v>
      </c>
      <c r="K341" s="24" t="s">
        <v>67</v>
      </c>
    </row>
    <row r="342" spans="1:11" x14ac:dyDescent="0.3">
      <c r="A342" s="24" t="s">
        <v>571</v>
      </c>
      <c r="B342" s="25">
        <v>46284</v>
      </c>
      <c r="C342" s="24" t="s">
        <v>572</v>
      </c>
      <c r="D342" s="24" t="s">
        <v>32</v>
      </c>
      <c r="E342" s="26">
        <v>699</v>
      </c>
      <c r="F342" s="24">
        <v>1</v>
      </c>
      <c r="G342" s="26">
        <v>699</v>
      </c>
      <c r="H342" s="24" t="s">
        <v>111</v>
      </c>
      <c r="I342" s="24" t="s">
        <v>54</v>
      </c>
      <c r="J342" s="24" t="s">
        <v>61</v>
      </c>
      <c r="K342" s="24" t="s">
        <v>67</v>
      </c>
    </row>
    <row r="343" spans="1:11" x14ac:dyDescent="0.3">
      <c r="A343" s="24" t="s">
        <v>573</v>
      </c>
      <c r="B343" s="25">
        <v>46284</v>
      </c>
      <c r="C343" s="24" t="s">
        <v>36</v>
      </c>
      <c r="D343" s="24" t="s">
        <v>30</v>
      </c>
      <c r="E343" s="26">
        <v>3299</v>
      </c>
      <c r="F343" s="24">
        <v>2</v>
      </c>
      <c r="G343" s="26">
        <v>6598</v>
      </c>
      <c r="H343" s="24" t="s">
        <v>90</v>
      </c>
      <c r="I343" s="24" t="s">
        <v>52</v>
      </c>
      <c r="J343" s="24" t="s">
        <v>61</v>
      </c>
      <c r="K343" s="24" t="s">
        <v>69</v>
      </c>
    </row>
    <row r="344" spans="1:11" x14ac:dyDescent="0.3">
      <c r="A344" s="24" t="s">
        <v>574</v>
      </c>
      <c r="B344" s="25">
        <v>46284</v>
      </c>
      <c r="C344" s="24" t="s">
        <v>231</v>
      </c>
      <c r="D344" s="24" t="s">
        <v>30</v>
      </c>
      <c r="E344" s="26">
        <v>3299</v>
      </c>
      <c r="F344" s="24">
        <v>1</v>
      </c>
      <c r="G344" s="26">
        <v>3299</v>
      </c>
      <c r="H344" s="24" t="s">
        <v>107</v>
      </c>
      <c r="I344" s="24" t="s">
        <v>52</v>
      </c>
      <c r="J344" s="24" t="s">
        <v>61</v>
      </c>
      <c r="K344" s="24" t="s">
        <v>69</v>
      </c>
    </row>
    <row r="345" spans="1:11" x14ac:dyDescent="0.3">
      <c r="A345" s="24" t="s">
        <v>575</v>
      </c>
      <c r="B345" s="25">
        <v>46284</v>
      </c>
      <c r="C345" s="24" t="s">
        <v>41</v>
      </c>
      <c r="D345" s="24" t="s">
        <v>31</v>
      </c>
      <c r="E345" s="26">
        <v>1799</v>
      </c>
      <c r="F345" s="24">
        <v>2</v>
      </c>
      <c r="G345" s="26">
        <v>3598</v>
      </c>
      <c r="H345" s="24" t="s">
        <v>73</v>
      </c>
      <c r="I345" s="24" t="s">
        <v>54</v>
      </c>
      <c r="J345" s="24" t="s">
        <v>61</v>
      </c>
      <c r="K345" s="24" t="s">
        <v>67</v>
      </c>
    </row>
    <row r="346" spans="1:11" x14ac:dyDescent="0.3">
      <c r="A346" s="24" t="s">
        <v>576</v>
      </c>
      <c r="B346" s="25">
        <v>46284</v>
      </c>
      <c r="C346" s="24" t="s">
        <v>48</v>
      </c>
      <c r="D346" s="24" t="s">
        <v>32</v>
      </c>
      <c r="E346" s="26">
        <v>399</v>
      </c>
      <c r="F346" s="24">
        <v>1</v>
      </c>
      <c r="G346" s="26">
        <v>399</v>
      </c>
      <c r="H346" s="24" t="s">
        <v>97</v>
      </c>
      <c r="I346" s="24" t="s">
        <v>56</v>
      </c>
      <c r="J346" s="24" t="s">
        <v>62</v>
      </c>
      <c r="K346" s="24" t="s">
        <v>69</v>
      </c>
    </row>
    <row r="347" spans="1:11" x14ac:dyDescent="0.3">
      <c r="A347" s="24" t="s">
        <v>577</v>
      </c>
      <c r="B347" s="25">
        <v>46285</v>
      </c>
      <c r="C347" s="24" t="s">
        <v>42</v>
      </c>
      <c r="D347" s="24" t="s">
        <v>28</v>
      </c>
      <c r="E347" s="26">
        <v>1999</v>
      </c>
      <c r="F347" s="24">
        <v>1</v>
      </c>
      <c r="G347" s="26">
        <v>1999</v>
      </c>
      <c r="H347" s="24" t="s">
        <v>80</v>
      </c>
      <c r="I347" s="24" t="s">
        <v>325</v>
      </c>
      <c r="J347" s="24" t="s">
        <v>63</v>
      </c>
      <c r="K347" s="24" t="s">
        <v>68</v>
      </c>
    </row>
    <row r="348" spans="1:11" x14ac:dyDescent="0.3">
      <c r="A348" s="24" t="s">
        <v>577</v>
      </c>
      <c r="B348" s="25">
        <v>46285</v>
      </c>
      <c r="C348" s="24" t="s">
        <v>42</v>
      </c>
      <c r="D348" s="24" t="s">
        <v>28</v>
      </c>
      <c r="E348" s="26">
        <v>1999</v>
      </c>
      <c r="F348" s="24">
        <v>1</v>
      </c>
      <c r="G348" s="26">
        <v>1999</v>
      </c>
      <c r="H348" s="24" t="s">
        <v>80</v>
      </c>
      <c r="I348" s="24" t="s">
        <v>325</v>
      </c>
      <c r="J348" s="24" t="s">
        <v>63</v>
      </c>
      <c r="K348" s="24" t="s">
        <v>68</v>
      </c>
    </row>
    <row r="349" spans="1:11" x14ac:dyDescent="0.3">
      <c r="A349" s="24" t="s">
        <v>578</v>
      </c>
      <c r="B349" s="25">
        <v>46285</v>
      </c>
      <c r="C349" s="24" t="s">
        <v>43</v>
      </c>
      <c r="D349" s="24" t="s">
        <v>28</v>
      </c>
      <c r="E349" s="26">
        <v>1299</v>
      </c>
      <c r="F349" s="24">
        <v>1</v>
      </c>
      <c r="G349" s="26">
        <v>1299</v>
      </c>
      <c r="H349" s="24" t="s">
        <v>110</v>
      </c>
      <c r="I349" s="24" t="s">
        <v>59</v>
      </c>
      <c r="J349" s="24" t="s">
        <v>65</v>
      </c>
      <c r="K349" s="24" t="s">
        <v>67</v>
      </c>
    </row>
    <row r="350" spans="1:11" x14ac:dyDescent="0.3">
      <c r="A350" s="24" t="s">
        <v>579</v>
      </c>
      <c r="B350" s="25">
        <v>46285</v>
      </c>
      <c r="C350" s="24" t="s">
        <v>38</v>
      </c>
      <c r="D350" s="24" t="s">
        <v>28</v>
      </c>
      <c r="E350" s="26">
        <v>2499</v>
      </c>
      <c r="F350" s="24">
        <v>1</v>
      </c>
      <c r="G350" s="26">
        <v>2499</v>
      </c>
      <c r="H350" s="24" t="s">
        <v>92</v>
      </c>
      <c r="I350" s="24" t="s">
        <v>51</v>
      </c>
      <c r="J350" s="24" t="s">
        <v>61</v>
      </c>
      <c r="K350" s="24" t="s">
        <v>67</v>
      </c>
    </row>
    <row r="351" spans="1:11" x14ac:dyDescent="0.3">
      <c r="A351" s="24" t="s">
        <v>580</v>
      </c>
      <c r="B351" s="25">
        <v>46285</v>
      </c>
      <c r="C351" s="24" t="s">
        <v>40</v>
      </c>
      <c r="D351" s="24" t="s">
        <v>30</v>
      </c>
      <c r="E351" s="26">
        <v>2199</v>
      </c>
      <c r="F351" s="24">
        <v>1</v>
      </c>
      <c r="G351" s="26">
        <v>2199</v>
      </c>
      <c r="H351" s="24" t="s">
        <v>95</v>
      </c>
      <c r="I351" s="24" t="s">
        <v>52</v>
      </c>
      <c r="J351" s="24" t="s">
        <v>62</v>
      </c>
      <c r="K351" s="24" t="s">
        <v>67</v>
      </c>
    </row>
    <row r="352" spans="1:11" x14ac:dyDescent="0.3">
      <c r="A352" s="24" t="s">
        <v>581</v>
      </c>
      <c r="B352" s="25">
        <v>46285</v>
      </c>
      <c r="C352" s="24" t="s">
        <v>313</v>
      </c>
      <c r="D352" s="24" t="s">
        <v>29</v>
      </c>
      <c r="E352" s="26">
        <v>499</v>
      </c>
      <c r="F352" s="24">
        <v>1</v>
      </c>
      <c r="G352" s="26">
        <v>499</v>
      </c>
      <c r="H352" s="24" t="s">
        <v>112</v>
      </c>
      <c r="I352" s="24" t="s">
        <v>50</v>
      </c>
      <c r="J352" s="24" t="s">
        <v>64</v>
      </c>
      <c r="K352" s="24" t="s">
        <v>67</v>
      </c>
    </row>
    <row r="353" spans="1:11" x14ac:dyDescent="0.3">
      <c r="A353" s="24" t="s">
        <v>582</v>
      </c>
      <c r="B353" s="25">
        <v>46285</v>
      </c>
      <c r="C353" s="24" t="s">
        <v>38</v>
      </c>
      <c r="D353" s="24" t="s">
        <v>28</v>
      </c>
      <c r="E353" s="26">
        <v>2499</v>
      </c>
      <c r="F353" s="24">
        <v>1</v>
      </c>
      <c r="G353" s="26">
        <v>2499</v>
      </c>
      <c r="H353" s="24" t="s">
        <v>123</v>
      </c>
      <c r="I353" s="24" t="s">
        <v>55</v>
      </c>
      <c r="J353" s="24" t="s">
        <v>63</v>
      </c>
      <c r="K353" s="24" t="s">
        <v>67</v>
      </c>
    </row>
    <row r="354" spans="1:11" x14ac:dyDescent="0.3">
      <c r="A354" s="24" t="s">
        <v>582</v>
      </c>
      <c r="B354" s="25">
        <v>46285</v>
      </c>
      <c r="C354" s="24" t="s">
        <v>38</v>
      </c>
      <c r="D354" s="24" t="s">
        <v>28</v>
      </c>
      <c r="E354" s="26">
        <v>2499</v>
      </c>
      <c r="F354" s="24">
        <v>1</v>
      </c>
      <c r="G354" s="26">
        <v>2499</v>
      </c>
      <c r="H354" s="24" t="s">
        <v>123</v>
      </c>
      <c r="I354" s="24" t="s">
        <v>55</v>
      </c>
      <c r="J354" s="24" t="s">
        <v>63</v>
      </c>
      <c r="K354" s="24" t="s">
        <v>67</v>
      </c>
    </row>
    <row r="355" spans="1:11" x14ac:dyDescent="0.3">
      <c r="A355" s="24" t="s">
        <v>583</v>
      </c>
      <c r="B355" s="25">
        <v>46285</v>
      </c>
      <c r="C355" s="24" t="s">
        <v>40</v>
      </c>
      <c r="D355" s="24" t="s">
        <v>30</v>
      </c>
      <c r="E355" s="26">
        <v>2199</v>
      </c>
      <c r="F355" s="24">
        <v>1</v>
      </c>
      <c r="G355" s="26">
        <v>2199</v>
      </c>
      <c r="H355" s="24" t="s">
        <v>105</v>
      </c>
      <c r="I355" s="24" t="s">
        <v>50</v>
      </c>
      <c r="J355" s="24" t="s">
        <v>61</v>
      </c>
      <c r="K355" s="24" t="s">
        <v>67</v>
      </c>
    </row>
    <row r="356" spans="1:11" x14ac:dyDescent="0.3">
      <c r="A356" s="24" t="s">
        <v>584</v>
      </c>
      <c r="B356" s="25">
        <v>46285</v>
      </c>
      <c r="C356" s="24" t="s">
        <v>47</v>
      </c>
      <c r="D356" s="24" t="s">
        <v>32</v>
      </c>
      <c r="E356" s="26">
        <v>699</v>
      </c>
      <c r="F356" s="24">
        <v>2</v>
      </c>
      <c r="G356" s="26">
        <v>1398</v>
      </c>
      <c r="H356" s="24" t="s">
        <v>130</v>
      </c>
      <c r="I356" s="24" t="s">
        <v>54</v>
      </c>
      <c r="J356" s="24" t="s">
        <v>64</v>
      </c>
      <c r="K356" s="24" t="s">
        <v>67</v>
      </c>
    </row>
    <row r="357" spans="1:11" x14ac:dyDescent="0.3">
      <c r="A357" s="24" t="s">
        <v>585</v>
      </c>
      <c r="B357" s="25">
        <v>46285</v>
      </c>
      <c r="C357" s="24" t="s">
        <v>572</v>
      </c>
      <c r="D357" s="24" t="s">
        <v>32</v>
      </c>
      <c r="E357" s="26">
        <v>699</v>
      </c>
      <c r="F357" s="24">
        <v>1</v>
      </c>
      <c r="G357" s="26">
        <v>699</v>
      </c>
      <c r="H357" s="24" t="s">
        <v>72</v>
      </c>
      <c r="I357" s="24" t="s">
        <v>59</v>
      </c>
      <c r="J357" s="24" t="s">
        <v>61</v>
      </c>
      <c r="K357" s="24" t="s">
        <v>67</v>
      </c>
    </row>
    <row r="358" spans="1:11" x14ac:dyDescent="0.3">
      <c r="A358" s="24" t="s">
        <v>586</v>
      </c>
      <c r="B358" s="25">
        <v>46285</v>
      </c>
      <c r="C358" s="24" t="s">
        <v>39</v>
      </c>
      <c r="D358" s="24" t="s">
        <v>29</v>
      </c>
      <c r="E358" s="26">
        <v>5999</v>
      </c>
      <c r="F358" s="24">
        <v>1</v>
      </c>
      <c r="G358" s="26">
        <v>5999</v>
      </c>
      <c r="H358" s="24" t="s">
        <v>91</v>
      </c>
      <c r="I358" s="24" t="s">
        <v>52</v>
      </c>
      <c r="J358" s="24" t="s">
        <v>63</v>
      </c>
      <c r="K358" s="24" t="s">
        <v>67</v>
      </c>
    </row>
    <row r="359" spans="1:11" x14ac:dyDescent="0.3">
      <c r="A359" s="24" t="s">
        <v>587</v>
      </c>
      <c r="B359" s="25">
        <v>46285</v>
      </c>
      <c r="C359" s="24" t="s">
        <v>44</v>
      </c>
      <c r="D359" s="24" t="s">
        <v>29</v>
      </c>
      <c r="E359" s="26">
        <v>499</v>
      </c>
      <c r="F359" s="24">
        <v>2</v>
      </c>
      <c r="G359" s="26">
        <v>998</v>
      </c>
      <c r="H359" s="24" t="s">
        <v>88</v>
      </c>
      <c r="I359" s="24" t="s">
        <v>53</v>
      </c>
      <c r="J359" s="24" t="s">
        <v>63</v>
      </c>
      <c r="K359" s="24" t="s">
        <v>163</v>
      </c>
    </row>
    <row r="360" spans="1:11" x14ac:dyDescent="0.3">
      <c r="A360" s="24" t="s">
        <v>588</v>
      </c>
      <c r="B360" s="25">
        <v>46285</v>
      </c>
      <c r="C360" s="24" t="s">
        <v>41</v>
      </c>
      <c r="D360" s="24" t="s">
        <v>31</v>
      </c>
      <c r="E360" s="26">
        <v>1799</v>
      </c>
      <c r="F360" s="24">
        <v>1</v>
      </c>
      <c r="G360" s="26">
        <v>1799</v>
      </c>
      <c r="H360" s="24" t="s">
        <v>92</v>
      </c>
      <c r="I360" s="24" t="s">
        <v>425</v>
      </c>
      <c r="J360" s="24" t="s">
        <v>65</v>
      </c>
      <c r="K360" s="24" t="s">
        <v>67</v>
      </c>
    </row>
    <row r="361" spans="1:11" x14ac:dyDescent="0.3">
      <c r="A361" s="24" t="s">
        <v>589</v>
      </c>
      <c r="B361" s="25">
        <v>46285</v>
      </c>
      <c r="C361" s="24" t="s">
        <v>40</v>
      </c>
      <c r="D361" s="24" t="s">
        <v>30</v>
      </c>
      <c r="E361" s="26">
        <v>2199</v>
      </c>
      <c r="F361" s="24">
        <v>1</v>
      </c>
      <c r="G361" s="26">
        <v>2199</v>
      </c>
      <c r="H361" s="24" t="s">
        <v>100</v>
      </c>
      <c r="I361" s="24" t="s">
        <v>483</v>
      </c>
      <c r="J361" s="24" t="s">
        <v>63</v>
      </c>
      <c r="K361" s="24" t="s">
        <v>67</v>
      </c>
    </row>
    <row r="362" spans="1:11" x14ac:dyDescent="0.3">
      <c r="A362" s="24" t="s">
        <v>590</v>
      </c>
      <c r="B362" s="25">
        <v>46285</v>
      </c>
      <c r="C362" s="24" t="s">
        <v>36</v>
      </c>
      <c r="D362" s="24" t="s">
        <v>30</v>
      </c>
      <c r="E362" s="26">
        <v>3299</v>
      </c>
      <c r="F362" s="24">
        <v>3</v>
      </c>
      <c r="G362" s="26">
        <v>9897</v>
      </c>
      <c r="H362" s="24" t="s">
        <v>106</v>
      </c>
      <c r="I362" s="24" t="s">
        <v>51</v>
      </c>
      <c r="J362" s="24" t="s">
        <v>62</v>
      </c>
      <c r="K362" s="24" t="s">
        <v>67</v>
      </c>
    </row>
    <row r="363" spans="1:11" x14ac:dyDescent="0.3">
      <c r="A363" s="24" t="s">
        <v>591</v>
      </c>
      <c r="B363" s="25">
        <v>46285</v>
      </c>
      <c r="C363" s="24" t="s">
        <v>592</v>
      </c>
      <c r="D363" s="24" t="s">
        <v>32</v>
      </c>
      <c r="E363" s="26">
        <v>699</v>
      </c>
      <c r="F363" s="24">
        <v>2</v>
      </c>
      <c r="G363" s="26">
        <v>1398</v>
      </c>
      <c r="H363" s="24" t="s">
        <v>82</v>
      </c>
      <c r="I363" s="24" t="s">
        <v>50</v>
      </c>
      <c r="J363" s="24" t="s">
        <v>61</v>
      </c>
      <c r="K363" s="24" t="s">
        <v>67</v>
      </c>
    </row>
    <row r="364" spans="1:11" x14ac:dyDescent="0.3">
      <c r="A364" s="24" t="s">
        <v>593</v>
      </c>
      <c r="B364" s="25">
        <v>46285</v>
      </c>
      <c r="C364" s="24" t="s">
        <v>44</v>
      </c>
      <c r="D364" s="24" t="s">
        <v>29</v>
      </c>
      <c r="E364" s="26">
        <v>499</v>
      </c>
      <c r="F364" s="24">
        <v>1</v>
      </c>
      <c r="G364" s="26">
        <v>499</v>
      </c>
      <c r="H364" s="24" t="s">
        <v>110</v>
      </c>
      <c r="I364" s="24" t="s">
        <v>351</v>
      </c>
      <c r="J364" s="24" t="s">
        <v>62</v>
      </c>
      <c r="K364" s="24" t="s">
        <v>67</v>
      </c>
    </row>
    <row r="365" spans="1:11" x14ac:dyDescent="0.3">
      <c r="A365" s="24" t="s">
        <v>594</v>
      </c>
      <c r="B365" s="25">
        <v>46286</v>
      </c>
      <c r="C365" s="24" t="s">
        <v>46</v>
      </c>
      <c r="D365" s="24" t="s">
        <v>31</v>
      </c>
      <c r="E365" s="26">
        <v>599</v>
      </c>
      <c r="F365" s="24">
        <v>2</v>
      </c>
      <c r="G365" s="26">
        <v>1198</v>
      </c>
      <c r="H365" s="24" t="s">
        <v>77</v>
      </c>
      <c r="I365" s="24" t="s">
        <v>57</v>
      </c>
      <c r="J365" s="24" t="s">
        <v>63</v>
      </c>
      <c r="K365" s="24" t="s">
        <v>67</v>
      </c>
    </row>
    <row r="366" spans="1:11" x14ac:dyDescent="0.3">
      <c r="A366" s="24" t="s">
        <v>595</v>
      </c>
      <c r="B366" s="25">
        <v>46286</v>
      </c>
      <c r="C366" s="24" t="s">
        <v>38</v>
      </c>
      <c r="D366" s="24" t="s">
        <v>28</v>
      </c>
      <c r="E366" s="26">
        <v>2499</v>
      </c>
      <c r="F366" s="24">
        <v>2</v>
      </c>
      <c r="G366" s="26">
        <v>4998</v>
      </c>
      <c r="H366" s="24" t="s">
        <v>94</v>
      </c>
      <c r="I366" s="24" t="s">
        <v>53</v>
      </c>
      <c r="J366" s="24" t="s">
        <v>63</v>
      </c>
      <c r="K366" s="24" t="s">
        <v>67</v>
      </c>
    </row>
    <row r="367" spans="1:11" x14ac:dyDescent="0.3">
      <c r="A367" s="24" t="s">
        <v>596</v>
      </c>
      <c r="B367" s="25">
        <v>46286</v>
      </c>
      <c r="C367" s="24" t="s">
        <v>37</v>
      </c>
      <c r="D367" s="24" t="s">
        <v>29</v>
      </c>
      <c r="E367" s="26">
        <v>3499</v>
      </c>
      <c r="F367" s="24">
        <v>2</v>
      </c>
      <c r="G367" s="26">
        <v>6998</v>
      </c>
      <c r="H367" s="24" t="s">
        <v>77</v>
      </c>
      <c r="I367" s="24" t="s">
        <v>57</v>
      </c>
      <c r="J367" s="24" t="s">
        <v>63</v>
      </c>
      <c r="K367" s="24" t="s">
        <v>69</v>
      </c>
    </row>
    <row r="368" spans="1:11" x14ac:dyDescent="0.3">
      <c r="A368" s="24" t="s">
        <v>597</v>
      </c>
      <c r="B368" s="25">
        <v>46286</v>
      </c>
      <c r="C368" s="24" t="s">
        <v>40</v>
      </c>
      <c r="D368" s="24" t="s">
        <v>30</v>
      </c>
      <c r="E368" s="26">
        <v>2199</v>
      </c>
      <c r="F368" s="24">
        <v>1</v>
      </c>
      <c r="G368" s="26">
        <v>2199</v>
      </c>
      <c r="H368" s="24" t="s">
        <v>598</v>
      </c>
      <c r="I368" s="24" t="s">
        <v>51</v>
      </c>
      <c r="J368" s="24" t="s">
        <v>61</v>
      </c>
      <c r="K368" s="24" t="s">
        <v>69</v>
      </c>
    </row>
    <row r="369" spans="1:11" x14ac:dyDescent="0.3">
      <c r="A369" s="24" t="s">
        <v>599</v>
      </c>
      <c r="B369" s="25">
        <v>46286</v>
      </c>
      <c r="C369" s="24" t="s">
        <v>48</v>
      </c>
      <c r="D369" s="24" t="s">
        <v>32</v>
      </c>
      <c r="E369" s="26">
        <v>399</v>
      </c>
      <c r="F369" s="24">
        <v>1</v>
      </c>
      <c r="G369" s="26">
        <v>399</v>
      </c>
      <c r="H369" s="24" t="s">
        <v>95</v>
      </c>
      <c r="I369" s="24" t="s">
        <v>52</v>
      </c>
      <c r="J369" s="24" t="s">
        <v>64</v>
      </c>
      <c r="K369" s="24" t="s">
        <v>67</v>
      </c>
    </row>
    <row r="370" spans="1:11" x14ac:dyDescent="0.3">
      <c r="A370" s="24" t="s">
        <v>600</v>
      </c>
      <c r="B370" s="25">
        <v>46286</v>
      </c>
      <c r="C370" s="24" t="s">
        <v>35</v>
      </c>
      <c r="D370" s="24" t="s">
        <v>28</v>
      </c>
      <c r="E370" s="26">
        <v>4999</v>
      </c>
      <c r="F370" s="24">
        <v>1</v>
      </c>
      <c r="G370" s="26">
        <v>4999</v>
      </c>
      <c r="H370" s="24" t="s">
        <v>105</v>
      </c>
      <c r="I370" s="24" t="s">
        <v>50</v>
      </c>
      <c r="J370" s="24" t="s">
        <v>61</v>
      </c>
      <c r="K370" s="24" t="s">
        <v>69</v>
      </c>
    </row>
    <row r="371" spans="1:11" x14ac:dyDescent="0.3">
      <c r="A371" s="24" t="s">
        <v>601</v>
      </c>
      <c r="B371" s="25">
        <v>46286</v>
      </c>
      <c r="C371" s="24" t="s">
        <v>481</v>
      </c>
      <c r="D371" s="24" t="s">
        <v>29</v>
      </c>
      <c r="E371" s="26">
        <v>5999</v>
      </c>
      <c r="F371" s="24">
        <v>2</v>
      </c>
      <c r="G371" s="26">
        <v>11998</v>
      </c>
      <c r="H371" s="24" t="s">
        <v>80</v>
      </c>
      <c r="I371" s="24" t="s">
        <v>449</v>
      </c>
      <c r="J371" s="24" t="s">
        <v>64</v>
      </c>
      <c r="K371" s="24" t="s">
        <v>67</v>
      </c>
    </row>
    <row r="372" spans="1:11" x14ac:dyDescent="0.3">
      <c r="A372" s="24" t="s">
        <v>602</v>
      </c>
      <c r="B372" s="25">
        <v>46286</v>
      </c>
      <c r="C372" s="24" t="s">
        <v>47</v>
      </c>
      <c r="D372" s="24" t="s">
        <v>32</v>
      </c>
      <c r="E372" s="26">
        <v>699</v>
      </c>
      <c r="F372" s="24">
        <v>3</v>
      </c>
      <c r="G372" s="26">
        <v>2097</v>
      </c>
      <c r="H372" s="24" t="s">
        <v>85</v>
      </c>
      <c r="I372" s="24" t="s">
        <v>53</v>
      </c>
      <c r="J372" s="24" t="s">
        <v>61</v>
      </c>
      <c r="K372" s="24" t="s">
        <v>67</v>
      </c>
    </row>
    <row r="373" spans="1:11" x14ac:dyDescent="0.3">
      <c r="A373" s="24" t="s">
        <v>602</v>
      </c>
      <c r="B373" s="25">
        <v>46286</v>
      </c>
      <c r="C373" s="24" t="s">
        <v>47</v>
      </c>
      <c r="D373" s="24" t="s">
        <v>32</v>
      </c>
      <c r="E373" s="26">
        <v>699</v>
      </c>
      <c r="F373" s="24">
        <v>3</v>
      </c>
      <c r="G373" s="26">
        <v>2097</v>
      </c>
      <c r="H373" s="24" t="s">
        <v>85</v>
      </c>
      <c r="I373" s="24" t="s">
        <v>53</v>
      </c>
      <c r="J373" s="24" t="s">
        <v>61</v>
      </c>
      <c r="K373" s="24" t="s">
        <v>67</v>
      </c>
    </row>
    <row r="374" spans="1:11" x14ac:dyDescent="0.3">
      <c r="A374" s="24" t="s">
        <v>603</v>
      </c>
      <c r="B374" s="25">
        <v>46286</v>
      </c>
      <c r="C374" s="24" t="s">
        <v>43</v>
      </c>
      <c r="D374" s="24" t="s">
        <v>28</v>
      </c>
      <c r="E374" s="26">
        <v>1299</v>
      </c>
      <c r="F374" s="24">
        <v>2</v>
      </c>
      <c r="G374" s="26">
        <v>2598</v>
      </c>
      <c r="H374" s="24" t="s">
        <v>86</v>
      </c>
      <c r="I374" s="24" t="s">
        <v>50</v>
      </c>
      <c r="J374" s="24" t="s">
        <v>61</v>
      </c>
      <c r="K374" s="24" t="s">
        <v>67</v>
      </c>
    </row>
    <row r="375" spans="1:11" x14ac:dyDescent="0.3">
      <c r="A375" s="24" t="s">
        <v>604</v>
      </c>
      <c r="B375" s="25">
        <v>46286</v>
      </c>
      <c r="C375" s="24" t="s">
        <v>44</v>
      </c>
      <c r="D375" s="24" t="s">
        <v>29</v>
      </c>
      <c r="E375" s="26">
        <v>499</v>
      </c>
      <c r="F375" s="24">
        <v>1</v>
      </c>
      <c r="G375" s="26">
        <v>499</v>
      </c>
      <c r="H375" s="24" t="s">
        <v>605</v>
      </c>
      <c r="I375" s="24" t="s">
        <v>51</v>
      </c>
      <c r="J375" s="24" t="s">
        <v>65</v>
      </c>
      <c r="K375" s="24" t="s">
        <v>67</v>
      </c>
    </row>
    <row r="376" spans="1:11" x14ac:dyDescent="0.3">
      <c r="A376" s="24" t="s">
        <v>606</v>
      </c>
      <c r="B376" s="25">
        <v>46286</v>
      </c>
      <c r="C376" s="24" t="s">
        <v>607</v>
      </c>
      <c r="D376" s="24" t="s">
        <v>29</v>
      </c>
      <c r="E376" s="26">
        <v>3499</v>
      </c>
      <c r="F376" s="24">
        <v>1</v>
      </c>
      <c r="G376" s="26">
        <v>3499</v>
      </c>
      <c r="H376" s="24" t="s">
        <v>117</v>
      </c>
      <c r="I376" s="24" t="s">
        <v>325</v>
      </c>
      <c r="J376" s="24" t="s">
        <v>63</v>
      </c>
      <c r="K376" s="24" t="s">
        <v>67</v>
      </c>
    </row>
    <row r="377" spans="1:11" x14ac:dyDescent="0.3">
      <c r="A377" s="24" t="s">
        <v>606</v>
      </c>
      <c r="B377" s="25">
        <v>46286</v>
      </c>
      <c r="C377" s="24" t="s">
        <v>607</v>
      </c>
      <c r="D377" s="24" t="s">
        <v>29</v>
      </c>
      <c r="E377" s="26">
        <v>3499</v>
      </c>
      <c r="F377" s="24">
        <v>1</v>
      </c>
      <c r="G377" s="26">
        <v>3499</v>
      </c>
      <c r="H377" s="24" t="s">
        <v>117</v>
      </c>
      <c r="I377" s="24" t="s">
        <v>325</v>
      </c>
      <c r="J377" s="24" t="s">
        <v>63</v>
      </c>
      <c r="K377" s="24" t="s">
        <v>67</v>
      </c>
    </row>
    <row r="378" spans="1:11" x14ac:dyDescent="0.3">
      <c r="A378" s="24" t="s">
        <v>608</v>
      </c>
      <c r="B378" s="25">
        <v>46286</v>
      </c>
      <c r="C378" s="24" t="s">
        <v>44</v>
      </c>
      <c r="D378" s="24" t="s">
        <v>29</v>
      </c>
      <c r="E378" s="26">
        <v>499</v>
      </c>
      <c r="F378" s="24">
        <v>3</v>
      </c>
      <c r="G378" s="26">
        <v>1497</v>
      </c>
      <c r="H378" s="24" t="s">
        <v>113</v>
      </c>
      <c r="I378" s="24" t="s">
        <v>169</v>
      </c>
      <c r="J378" s="24" t="s">
        <v>65</v>
      </c>
      <c r="K378" s="24" t="s">
        <v>67</v>
      </c>
    </row>
    <row r="379" spans="1:11" x14ac:dyDescent="0.3">
      <c r="A379" s="24" t="s">
        <v>609</v>
      </c>
      <c r="B379" s="25">
        <v>46286</v>
      </c>
      <c r="C379" s="24" t="s">
        <v>36</v>
      </c>
      <c r="D379" s="24" t="s">
        <v>30</v>
      </c>
      <c r="E379" s="26">
        <v>3299</v>
      </c>
      <c r="F379" s="24">
        <v>2</v>
      </c>
      <c r="G379" s="26">
        <v>6598</v>
      </c>
      <c r="H379" s="24" t="s">
        <v>104</v>
      </c>
      <c r="I379" s="24" t="s">
        <v>425</v>
      </c>
      <c r="J379" s="24" t="s">
        <v>61</v>
      </c>
      <c r="K379" s="24" t="s">
        <v>67</v>
      </c>
    </row>
    <row r="380" spans="1:11" x14ac:dyDescent="0.3">
      <c r="A380" s="24" t="s">
        <v>610</v>
      </c>
      <c r="B380" s="25">
        <v>46286</v>
      </c>
      <c r="C380" s="24" t="s">
        <v>39</v>
      </c>
      <c r="D380" s="24" t="s">
        <v>29</v>
      </c>
      <c r="E380" s="26">
        <v>5999</v>
      </c>
      <c r="F380" s="24">
        <v>1</v>
      </c>
      <c r="G380" s="26">
        <v>5999</v>
      </c>
      <c r="H380" s="24" t="s">
        <v>120</v>
      </c>
      <c r="I380" s="24" t="s">
        <v>52</v>
      </c>
      <c r="J380" s="24" t="s">
        <v>61</v>
      </c>
      <c r="K380" s="24" t="s">
        <v>67</v>
      </c>
    </row>
    <row r="381" spans="1:11" x14ac:dyDescent="0.3">
      <c r="A381" s="24" t="s">
        <v>611</v>
      </c>
      <c r="B381" s="25">
        <v>46286</v>
      </c>
      <c r="C381" s="24" t="s">
        <v>47</v>
      </c>
      <c r="D381" s="24" t="s">
        <v>32</v>
      </c>
      <c r="E381" s="26">
        <v>699</v>
      </c>
      <c r="F381" s="24">
        <v>1</v>
      </c>
      <c r="G381" s="26">
        <v>699</v>
      </c>
      <c r="H381" s="24" t="s">
        <v>100</v>
      </c>
      <c r="I381" s="24" t="s">
        <v>612</v>
      </c>
      <c r="J381" s="24" t="s">
        <v>61</v>
      </c>
      <c r="K381" s="24" t="s">
        <v>67</v>
      </c>
    </row>
    <row r="382" spans="1:11" x14ac:dyDescent="0.3">
      <c r="A382" s="24" t="s">
        <v>613</v>
      </c>
      <c r="B382" s="25">
        <v>46286</v>
      </c>
      <c r="C382" s="24" t="s">
        <v>44</v>
      </c>
      <c r="D382" s="24" t="s">
        <v>29</v>
      </c>
      <c r="E382" s="26">
        <v>499</v>
      </c>
      <c r="F382" s="24">
        <v>1</v>
      </c>
      <c r="G382" s="26">
        <v>499</v>
      </c>
      <c r="H382" s="24" t="s">
        <v>79</v>
      </c>
      <c r="I382" s="24" t="s">
        <v>369</v>
      </c>
      <c r="J382" s="24" t="s">
        <v>64</v>
      </c>
      <c r="K382" s="24" t="s">
        <v>67</v>
      </c>
    </row>
    <row r="383" spans="1:11" x14ac:dyDescent="0.3">
      <c r="A383" s="24" t="s">
        <v>614</v>
      </c>
      <c r="B383" s="25">
        <v>46286</v>
      </c>
      <c r="C383" s="24" t="s">
        <v>143</v>
      </c>
      <c r="D383" s="24" t="s">
        <v>29</v>
      </c>
      <c r="E383" s="26">
        <v>3499</v>
      </c>
      <c r="F383" s="24">
        <v>2</v>
      </c>
      <c r="G383" s="26">
        <v>6998</v>
      </c>
      <c r="H383" s="24" t="s">
        <v>83</v>
      </c>
      <c r="I383" s="24" t="s">
        <v>51</v>
      </c>
      <c r="J383" s="24" t="s">
        <v>62</v>
      </c>
      <c r="K383" s="24" t="s">
        <v>67</v>
      </c>
    </row>
    <row r="384" spans="1:11" x14ac:dyDescent="0.3">
      <c r="A384" s="24" t="s">
        <v>615</v>
      </c>
      <c r="B384" s="25">
        <v>46286</v>
      </c>
      <c r="C384" s="24" t="s">
        <v>231</v>
      </c>
      <c r="D384" s="24" t="s">
        <v>30</v>
      </c>
      <c r="E384" s="26">
        <v>3299</v>
      </c>
      <c r="F384" s="24">
        <v>3</v>
      </c>
      <c r="G384" s="26">
        <v>9897</v>
      </c>
      <c r="H384" s="24" t="s">
        <v>500</v>
      </c>
      <c r="I384" s="24" t="s">
        <v>51</v>
      </c>
      <c r="J384" s="24" t="s">
        <v>63</v>
      </c>
      <c r="K384" s="24" t="s">
        <v>67</v>
      </c>
    </row>
    <row r="385" spans="1:11" x14ac:dyDescent="0.3">
      <c r="A385" s="24" t="s">
        <v>616</v>
      </c>
      <c r="B385" s="25">
        <v>46286</v>
      </c>
      <c r="C385" s="24" t="s">
        <v>48</v>
      </c>
      <c r="D385" s="24" t="s">
        <v>32</v>
      </c>
      <c r="E385" s="26">
        <v>399</v>
      </c>
      <c r="F385" s="24">
        <v>2</v>
      </c>
      <c r="G385" s="26">
        <v>798</v>
      </c>
      <c r="H385" s="24" t="s">
        <v>83</v>
      </c>
      <c r="I385" s="24" t="s">
        <v>388</v>
      </c>
      <c r="J385" s="24" t="s">
        <v>62</v>
      </c>
      <c r="K385" s="24" t="s">
        <v>67</v>
      </c>
    </row>
    <row r="386" spans="1:11" x14ac:dyDescent="0.3">
      <c r="A386" s="24" t="s">
        <v>617</v>
      </c>
      <c r="B386" s="25">
        <v>46286</v>
      </c>
      <c r="C386" s="24" t="s">
        <v>46</v>
      </c>
      <c r="D386" s="24" t="s">
        <v>31</v>
      </c>
      <c r="E386" s="26">
        <v>599</v>
      </c>
      <c r="F386" s="24">
        <v>4</v>
      </c>
      <c r="G386" s="26">
        <v>2396</v>
      </c>
      <c r="H386" s="24" t="s">
        <v>127</v>
      </c>
      <c r="I386" s="24" t="s">
        <v>152</v>
      </c>
      <c r="J386" s="24" t="s">
        <v>61</v>
      </c>
      <c r="K386" s="24" t="s">
        <v>69</v>
      </c>
    </row>
    <row r="387" spans="1:11" x14ac:dyDescent="0.3">
      <c r="A387" s="24" t="s">
        <v>618</v>
      </c>
      <c r="B387" s="25">
        <v>46286</v>
      </c>
      <c r="C387" s="24" t="s">
        <v>45</v>
      </c>
      <c r="D387" s="24" t="s">
        <v>30</v>
      </c>
      <c r="E387" s="26">
        <v>899</v>
      </c>
      <c r="F387" s="24">
        <v>1</v>
      </c>
      <c r="G387" s="26">
        <v>899</v>
      </c>
      <c r="H387" s="24" t="s">
        <v>89</v>
      </c>
      <c r="I387" s="24" t="s">
        <v>321</v>
      </c>
      <c r="J387" s="24" t="s">
        <v>63</v>
      </c>
      <c r="K387" s="24" t="s">
        <v>67</v>
      </c>
    </row>
    <row r="388" spans="1:11" x14ac:dyDescent="0.3">
      <c r="A388" s="24" t="s">
        <v>619</v>
      </c>
      <c r="B388" s="25">
        <v>46286</v>
      </c>
      <c r="C388" s="24" t="s">
        <v>46</v>
      </c>
      <c r="D388" s="24" t="s">
        <v>31</v>
      </c>
      <c r="E388" s="26">
        <v>599</v>
      </c>
      <c r="F388" s="24">
        <v>1</v>
      </c>
      <c r="G388" s="26">
        <v>599</v>
      </c>
      <c r="H388" s="24" t="s">
        <v>101</v>
      </c>
      <c r="I388" s="24" t="s">
        <v>52</v>
      </c>
      <c r="J388" s="24" t="s">
        <v>62</v>
      </c>
      <c r="K388" s="24" t="s">
        <v>67</v>
      </c>
    </row>
    <row r="389" spans="1:11" x14ac:dyDescent="0.3">
      <c r="A389" s="24" t="s">
        <v>620</v>
      </c>
      <c r="B389" s="25">
        <v>46287</v>
      </c>
      <c r="C389" s="24" t="s">
        <v>396</v>
      </c>
      <c r="D389" s="24" t="s">
        <v>29</v>
      </c>
      <c r="E389" s="26">
        <v>499</v>
      </c>
      <c r="F389" s="24">
        <v>1</v>
      </c>
      <c r="G389" s="26">
        <v>499</v>
      </c>
      <c r="H389" s="24" t="s">
        <v>92</v>
      </c>
      <c r="I389" s="24" t="s">
        <v>51</v>
      </c>
      <c r="J389" s="24" t="s">
        <v>64</v>
      </c>
      <c r="K389" s="24" t="s">
        <v>67</v>
      </c>
    </row>
    <row r="390" spans="1:11" x14ac:dyDescent="0.3">
      <c r="A390" s="24" t="s">
        <v>621</v>
      </c>
      <c r="B390" s="25">
        <v>46287</v>
      </c>
      <c r="C390" s="24" t="s">
        <v>35</v>
      </c>
      <c r="D390" s="24" t="s">
        <v>28</v>
      </c>
      <c r="E390" s="26">
        <v>4999</v>
      </c>
      <c r="F390" s="24">
        <v>1</v>
      </c>
      <c r="G390" s="26">
        <v>4999</v>
      </c>
      <c r="H390" s="24" t="s">
        <v>96</v>
      </c>
      <c r="I390" s="24" t="s">
        <v>53</v>
      </c>
      <c r="J390" s="24" t="s">
        <v>62</v>
      </c>
      <c r="K390" s="24" t="s">
        <v>67</v>
      </c>
    </row>
    <row r="391" spans="1:11" x14ac:dyDescent="0.3">
      <c r="A391" s="24" t="s">
        <v>622</v>
      </c>
      <c r="B391" s="25">
        <v>46287</v>
      </c>
      <c r="C391" s="24" t="s">
        <v>40</v>
      </c>
      <c r="D391" s="24" t="s">
        <v>30</v>
      </c>
      <c r="E391" s="26">
        <v>2199</v>
      </c>
      <c r="F391" s="24">
        <v>1</v>
      </c>
      <c r="G391" s="26">
        <v>2199</v>
      </c>
      <c r="H391" s="24" t="s">
        <v>623</v>
      </c>
      <c r="I391" s="24" t="s">
        <v>55</v>
      </c>
      <c r="J391" s="24" t="s">
        <v>62</v>
      </c>
      <c r="K391" s="24" t="s">
        <v>67</v>
      </c>
    </row>
    <row r="392" spans="1:11" x14ac:dyDescent="0.3">
      <c r="A392" s="24" t="s">
        <v>624</v>
      </c>
      <c r="B392" s="25">
        <v>46287</v>
      </c>
      <c r="C392" s="24" t="s">
        <v>354</v>
      </c>
      <c r="D392" s="24" t="s">
        <v>28</v>
      </c>
      <c r="E392" s="26">
        <v>4999</v>
      </c>
      <c r="F392" s="24">
        <v>1</v>
      </c>
      <c r="G392" s="26">
        <v>4999</v>
      </c>
      <c r="H392" s="24" t="s">
        <v>625</v>
      </c>
      <c r="I392" s="24" t="s">
        <v>53</v>
      </c>
      <c r="J392" s="24" t="s">
        <v>64</v>
      </c>
      <c r="K392" s="24" t="s">
        <v>67</v>
      </c>
    </row>
    <row r="393" spans="1:11" x14ac:dyDescent="0.3">
      <c r="A393" s="24" t="s">
        <v>626</v>
      </c>
      <c r="B393" s="25">
        <v>46287</v>
      </c>
      <c r="C393" s="24" t="s">
        <v>38</v>
      </c>
      <c r="D393" s="24" t="s">
        <v>28</v>
      </c>
      <c r="E393" s="26">
        <v>2499</v>
      </c>
      <c r="F393" s="24">
        <v>3</v>
      </c>
      <c r="G393" s="26">
        <v>7497</v>
      </c>
      <c r="H393" s="24" t="s">
        <v>111</v>
      </c>
      <c r="I393" s="24" t="s">
        <v>54</v>
      </c>
      <c r="J393" s="24" t="s">
        <v>61</v>
      </c>
      <c r="K393" s="24" t="s">
        <v>68</v>
      </c>
    </row>
    <row r="394" spans="1:11" x14ac:dyDescent="0.3">
      <c r="A394" s="24" t="s">
        <v>627</v>
      </c>
      <c r="B394" s="25">
        <v>46287</v>
      </c>
      <c r="C394" s="24" t="s">
        <v>40</v>
      </c>
      <c r="D394" s="24" t="s">
        <v>30</v>
      </c>
      <c r="E394" s="26">
        <v>2199</v>
      </c>
      <c r="F394" s="24">
        <v>1</v>
      </c>
      <c r="G394" s="26">
        <v>2199</v>
      </c>
      <c r="H394" s="24" t="s">
        <v>127</v>
      </c>
      <c r="I394" s="24" t="s">
        <v>52</v>
      </c>
      <c r="J394" s="24" t="s">
        <v>64</v>
      </c>
      <c r="K394" s="24" t="s">
        <v>163</v>
      </c>
    </row>
    <row r="395" spans="1:11" x14ac:dyDescent="0.3">
      <c r="A395" s="24" t="s">
        <v>627</v>
      </c>
      <c r="B395" s="25">
        <v>46287</v>
      </c>
      <c r="C395" s="24" t="s">
        <v>40</v>
      </c>
      <c r="D395" s="24" t="s">
        <v>30</v>
      </c>
      <c r="E395" s="26">
        <v>2199</v>
      </c>
      <c r="F395" s="24">
        <v>1</v>
      </c>
      <c r="G395" s="26">
        <v>2199</v>
      </c>
      <c r="H395" s="24" t="s">
        <v>127</v>
      </c>
      <c r="I395" s="24" t="s">
        <v>52</v>
      </c>
      <c r="J395" s="24" t="s">
        <v>64</v>
      </c>
      <c r="K395" s="24" t="s">
        <v>163</v>
      </c>
    </row>
    <row r="396" spans="1:11" x14ac:dyDescent="0.3">
      <c r="A396" s="24" t="s">
        <v>628</v>
      </c>
      <c r="B396" s="25">
        <v>46287</v>
      </c>
      <c r="C396" s="24" t="s">
        <v>44</v>
      </c>
      <c r="D396" s="24" t="s">
        <v>29</v>
      </c>
      <c r="E396" s="26">
        <v>499</v>
      </c>
      <c r="F396" s="24">
        <v>1</v>
      </c>
      <c r="G396" s="26">
        <v>499</v>
      </c>
      <c r="H396" s="24" t="s">
        <v>125</v>
      </c>
      <c r="I396" s="24" t="s">
        <v>52</v>
      </c>
      <c r="J396" s="24" t="s">
        <v>64</v>
      </c>
      <c r="K396" s="24" t="s">
        <v>67</v>
      </c>
    </row>
    <row r="397" spans="1:11" x14ac:dyDescent="0.3">
      <c r="A397" s="24" t="s">
        <v>629</v>
      </c>
      <c r="B397" s="25">
        <v>46287</v>
      </c>
      <c r="C397" s="24" t="s">
        <v>43</v>
      </c>
      <c r="D397" s="24" t="s">
        <v>28</v>
      </c>
      <c r="E397" s="26">
        <v>1299</v>
      </c>
      <c r="F397" s="24">
        <v>1</v>
      </c>
      <c r="G397" s="26">
        <v>1299</v>
      </c>
      <c r="H397" s="24" t="s">
        <v>93</v>
      </c>
      <c r="I397" s="24" t="s">
        <v>55</v>
      </c>
      <c r="J397" s="24" t="s">
        <v>63</v>
      </c>
      <c r="K397" s="24" t="s">
        <v>69</v>
      </c>
    </row>
    <row r="398" spans="1:11" x14ac:dyDescent="0.3">
      <c r="A398" s="24" t="s">
        <v>630</v>
      </c>
      <c r="B398" s="25">
        <v>46287</v>
      </c>
      <c r="C398" s="24" t="s">
        <v>46</v>
      </c>
      <c r="D398" s="24" t="s">
        <v>31</v>
      </c>
      <c r="E398" s="26">
        <v>599</v>
      </c>
      <c r="F398" s="24">
        <v>3</v>
      </c>
      <c r="G398" s="26">
        <v>1797</v>
      </c>
      <c r="H398" s="24" t="s">
        <v>74</v>
      </c>
      <c r="I398" s="24" t="s">
        <v>50</v>
      </c>
      <c r="J398" s="24" t="s">
        <v>61</v>
      </c>
      <c r="K398" s="24" t="s">
        <v>69</v>
      </c>
    </row>
    <row r="399" spans="1:11" x14ac:dyDescent="0.3">
      <c r="A399" s="24" t="s">
        <v>631</v>
      </c>
      <c r="B399" s="25">
        <v>46287</v>
      </c>
      <c r="C399" s="24" t="s">
        <v>48</v>
      </c>
      <c r="D399" s="24" t="s">
        <v>32</v>
      </c>
      <c r="E399" s="26">
        <v>399</v>
      </c>
      <c r="F399" s="24">
        <v>4</v>
      </c>
      <c r="G399" s="26">
        <v>1596</v>
      </c>
      <c r="H399" s="24" t="s">
        <v>92</v>
      </c>
      <c r="I399" s="24" t="s">
        <v>51</v>
      </c>
      <c r="J399" s="24" t="s">
        <v>61</v>
      </c>
      <c r="K399" s="24" t="s">
        <v>67</v>
      </c>
    </row>
    <row r="400" spans="1:11" x14ac:dyDescent="0.3">
      <c r="A400" s="24" t="s">
        <v>632</v>
      </c>
      <c r="B400" s="25">
        <v>46287</v>
      </c>
      <c r="C400" s="24" t="s">
        <v>35</v>
      </c>
      <c r="D400" s="24" t="s">
        <v>28</v>
      </c>
      <c r="E400" s="26">
        <v>4999</v>
      </c>
      <c r="F400" s="24">
        <v>1</v>
      </c>
      <c r="G400" s="26">
        <v>4999</v>
      </c>
      <c r="H400" s="24" t="s">
        <v>97</v>
      </c>
      <c r="I400" s="24" t="s">
        <v>56</v>
      </c>
      <c r="J400" s="24" t="s">
        <v>63</v>
      </c>
      <c r="K400" s="24" t="s">
        <v>68</v>
      </c>
    </row>
    <row r="401" spans="1:11" x14ac:dyDescent="0.3">
      <c r="A401" s="24" t="s">
        <v>633</v>
      </c>
      <c r="B401" s="25">
        <v>46287</v>
      </c>
      <c r="C401" s="24" t="s">
        <v>44</v>
      </c>
      <c r="D401" s="24" t="s">
        <v>29</v>
      </c>
      <c r="E401" s="26">
        <v>499</v>
      </c>
      <c r="F401" s="24">
        <v>1</v>
      </c>
      <c r="G401" s="26">
        <v>499</v>
      </c>
      <c r="H401" s="24" t="s">
        <v>87</v>
      </c>
      <c r="I401" s="24" t="s">
        <v>56</v>
      </c>
      <c r="J401" s="24" t="s">
        <v>62</v>
      </c>
      <c r="K401" s="24" t="s">
        <v>68</v>
      </c>
    </row>
    <row r="402" spans="1:11" x14ac:dyDescent="0.3">
      <c r="A402" s="24" t="s">
        <v>634</v>
      </c>
      <c r="B402" s="25">
        <v>46287</v>
      </c>
      <c r="C402" s="24" t="s">
        <v>36</v>
      </c>
      <c r="D402" s="24" t="s">
        <v>30</v>
      </c>
      <c r="E402" s="26">
        <v>3299</v>
      </c>
      <c r="F402" s="24">
        <v>1</v>
      </c>
      <c r="G402" s="26">
        <v>3299</v>
      </c>
      <c r="H402" s="24" t="s">
        <v>79</v>
      </c>
      <c r="I402" s="24" t="s">
        <v>50</v>
      </c>
      <c r="J402" s="24" t="s">
        <v>61</v>
      </c>
      <c r="K402" s="24" t="s">
        <v>67</v>
      </c>
    </row>
    <row r="403" spans="1:11" x14ac:dyDescent="0.3">
      <c r="A403" s="24" t="s">
        <v>635</v>
      </c>
      <c r="B403" s="25">
        <v>46287</v>
      </c>
      <c r="C403" s="24" t="s">
        <v>40</v>
      </c>
      <c r="D403" s="24" t="s">
        <v>30</v>
      </c>
      <c r="E403" s="26">
        <v>2199</v>
      </c>
      <c r="F403" s="24">
        <v>1</v>
      </c>
      <c r="G403" s="26">
        <v>2199</v>
      </c>
      <c r="H403" s="24" t="s">
        <v>101</v>
      </c>
      <c r="I403" s="24" t="s">
        <v>52</v>
      </c>
      <c r="J403" s="24" t="s">
        <v>64</v>
      </c>
      <c r="K403" s="24" t="s">
        <v>67</v>
      </c>
    </row>
    <row r="404" spans="1:11" x14ac:dyDescent="0.3">
      <c r="A404" s="24" t="s">
        <v>636</v>
      </c>
      <c r="B404" s="25">
        <v>46287</v>
      </c>
      <c r="C404" s="24" t="s">
        <v>46</v>
      </c>
      <c r="D404" s="24" t="s">
        <v>31</v>
      </c>
      <c r="E404" s="26">
        <v>599</v>
      </c>
      <c r="F404" s="24">
        <v>1</v>
      </c>
      <c r="G404" s="26">
        <v>599</v>
      </c>
      <c r="H404" s="24" t="s">
        <v>637</v>
      </c>
      <c r="I404" s="24" t="s">
        <v>57</v>
      </c>
      <c r="J404" s="24" t="s">
        <v>64</v>
      </c>
      <c r="K404" s="24" t="s">
        <v>67</v>
      </c>
    </row>
    <row r="405" spans="1:11" x14ac:dyDescent="0.3">
      <c r="A405" s="24" t="s">
        <v>638</v>
      </c>
      <c r="B405" s="25">
        <v>46287</v>
      </c>
      <c r="C405" s="24" t="s">
        <v>379</v>
      </c>
      <c r="D405" s="24" t="s">
        <v>28</v>
      </c>
      <c r="E405" s="26">
        <v>2499</v>
      </c>
      <c r="F405" s="24">
        <v>1</v>
      </c>
      <c r="G405" s="26">
        <v>2499</v>
      </c>
      <c r="H405" s="24" t="s">
        <v>113</v>
      </c>
      <c r="I405" s="24" t="s">
        <v>53</v>
      </c>
      <c r="J405" s="24" t="s">
        <v>63</v>
      </c>
      <c r="K405" s="24" t="s">
        <v>67</v>
      </c>
    </row>
    <row r="406" spans="1:11" x14ac:dyDescent="0.3">
      <c r="A406" s="24" t="s">
        <v>639</v>
      </c>
      <c r="B406" s="25">
        <v>46287</v>
      </c>
      <c r="C406" s="24" t="s">
        <v>539</v>
      </c>
      <c r="D406" s="24" t="s">
        <v>29</v>
      </c>
      <c r="E406" s="26">
        <v>499</v>
      </c>
      <c r="F406" s="24">
        <v>2</v>
      </c>
      <c r="G406" s="26">
        <v>998</v>
      </c>
      <c r="H406" s="24" t="s">
        <v>102</v>
      </c>
      <c r="I406" s="24" t="s">
        <v>58</v>
      </c>
      <c r="J406" s="24" t="s">
        <v>63</v>
      </c>
      <c r="K406" s="24" t="s">
        <v>67</v>
      </c>
    </row>
    <row r="407" spans="1:11" x14ac:dyDescent="0.3">
      <c r="A407" s="24" t="s">
        <v>640</v>
      </c>
      <c r="B407" s="25">
        <v>46287</v>
      </c>
      <c r="C407" s="24" t="s">
        <v>41</v>
      </c>
      <c r="D407" s="24" t="s">
        <v>31</v>
      </c>
      <c r="E407" s="26">
        <v>1799</v>
      </c>
      <c r="F407" s="24">
        <v>1</v>
      </c>
      <c r="G407" s="26">
        <v>1799</v>
      </c>
      <c r="H407" s="24" t="s">
        <v>126</v>
      </c>
      <c r="I407" s="24" t="s">
        <v>50</v>
      </c>
      <c r="J407" s="24" t="s">
        <v>64</v>
      </c>
      <c r="K407" s="24" t="s">
        <v>67</v>
      </c>
    </row>
    <row r="408" spans="1:11" x14ac:dyDescent="0.3">
      <c r="A408" s="24" t="s">
        <v>641</v>
      </c>
      <c r="B408" s="25">
        <v>46288</v>
      </c>
      <c r="C408" s="24" t="s">
        <v>44</v>
      </c>
      <c r="D408" s="24" t="s">
        <v>29</v>
      </c>
      <c r="E408" s="26">
        <v>499</v>
      </c>
      <c r="F408" s="24">
        <v>1</v>
      </c>
      <c r="G408" s="26">
        <v>499</v>
      </c>
      <c r="H408" s="24" t="s">
        <v>89</v>
      </c>
      <c r="I408" s="24" t="s">
        <v>52</v>
      </c>
      <c r="J408" s="24" t="s">
        <v>62</v>
      </c>
      <c r="K408" s="24" t="s">
        <v>68</v>
      </c>
    </row>
    <row r="409" spans="1:11" x14ac:dyDescent="0.3">
      <c r="A409" s="24" t="s">
        <v>642</v>
      </c>
      <c r="B409" s="25">
        <v>46288</v>
      </c>
      <c r="C409" s="24" t="s">
        <v>37</v>
      </c>
      <c r="D409" s="24" t="s">
        <v>29</v>
      </c>
      <c r="E409" s="26">
        <v>3499</v>
      </c>
      <c r="F409" s="24">
        <v>1</v>
      </c>
      <c r="G409" s="26">
        <v>3499</v>
      </c>
      <c r="H409" s="24" t="s">
        <v>115</v>
      </c>
      <c r="I409" s="24" t="s">
        <v>57</v>
      </c>
      <c r="J409" s="24" t="s">
        <v>64</v>
      </c>
      <c r="K409" s="24" t="s">
        <v>67</v>
      </c>
    </row>
    <row r="410" spans="1:11" x14ac:dyDescent="0.3">
      <c r="A410" s="24" t="s">
        <v>643</v>
      </c>
      <c r="B410" s="25">
        <v>46288</v>
      </c>
      <c r="C410" s="24" t="s">
        <v>43</v>
      </c>
      <c r="D410" s="24" t="s">
        <v>28</v>
      </c>
      <c r="E410" s="26">
        <v>1299</v>
      </c>
      <c r="F410" s="24">
        <v>1</v>
      </c>
      <c r="G410" s="26">
        <v>1299</v>
      </c>
      <c r="H410" s="24" t="s">
        <v>126</v>
      </c>
      <c r="I410" s="24" t="s">
        <v>369</v>
      </c>
      <c r="J410" s="24" t="s">
        <v>61</v>
      </c>
      <c r="K410" s="24" t="s">
        <v>67</v>
      </c>
    </row>
    <row r="411" spans="1:11" x14ac:dyDescent="0.3">
      <c r="A411" s="24" t="s">
        <v>644</v>
      </c>
      <c r="B411" s="25">
        <v>46288</v>
      </c>
      <c r="C411" s="24" t="s">
        <v>39</v>
      </c>
      <c r="D411" s="24" t="s">
        <v>29</v>
      </c>
      <c r="E411" s="26">
        <v>5999</v>
      </c>
      <c r="F411" s="24">
        <v>1</v>
      </c>
      <c r="G411" s="26">
        <v>5999</v>
      </c>
      <c r="H411" s="24" t="s">
        <v>645</v>
      </c>
      <c r="I411" s="24" t="s">
        <v>402</v>
      </c>
      <c r="J411" s="24" t="s">
        <v>61</v>
      </c>
      <c r="K411" s="24" t="s">
        <v>67</v>
      </c>
    </row>
    <row r="412" spans="1:11" x14ac:dyDescent="0.3">
      <c r="A412" s="24" t="s">
        <v>646</v>
      </c>
      <c r="B412" s="25">
        <v>46288</v>
      </c>
      <c r="C412" s="24" t="s">
        <v>40</v>
      </c>
      <c r="D412" s="24" t="s">
        <v>30</v>
      </c>
      <c r="E412" s="26">
        <v>2199</v>
      </c>
      <c r="F412" s="24">
        <v>2</v>
      </c>
      <c r="G412" s="26">
        <v>4398</v>
      </c>
      <c r="H412" s="24" t="s">
        <v>122</v>
      </c>
      <c r="I412" s="24" t="s">
        <v>51</v>
      </c>
      <c r="J412" s="24" t="s">
        <v>62</v>
      </c>
      <c r="K412" s="24" t="s">
        <v>67</v>
      </c>
    </row>
    <row r="413" spans="1:11" x14ac:dyDescent="0.3">
      <c r="A413" s="24" t="s">
        <v>647</v>
      </c>
      <c r="B413" s="25">
        <v>46289</v>
      </c>
      <c r="C413" s="24" t="s">
        <v>45</v>
      </c>
      <c r="D413" s="24" t="s">
        <v>30</v>
      </c>
      <c r="E413" s="26">
        <v>899</v>
      </c>
      <c r="F413" s="24">
        <v>2</v>
      </c>
      <c r="G413" s="26">
        <v>1798</v>
      </c>
      <c r="H413" s="24" t="s">
        <v>122</v>
      </c>
      <c r="I413" s="24" t="s">
        <v>51</v>
      </c>
      <c r="J413" s="24" t="s">
        <v>61</v>
      </c>
      <c r="K413" s="24" t="s">
        <v>67</v>
      </c>
    </row>
    <row r="414" spans="1:11" x14ac:dyDescent="0.3">
      <c r="A414" s="24" t="s">
        <v>648</v>
      </c>
      <c r="B414" s="25">
        <v>46289</v>
      </c>
      <c r="C414" s="24" t="s">
        <v>354</v>
      </c>
      <c r="D414" s="24" t="s">
        <v>28</v>
      </c>
      <c r="E414" s="26">
        <v>4999</v>
      </c>
      <c r="F414" s="24">
        <v>1</v>
      </c>
      <c r="G414" s="26">
        <v>4999</v>
      </c>
      <c r="H414" s="24" t="s">
        <v>79</v>
      </c>
      <c r="I414" s="24" t="s">
        <v>50</v>
      </c>
      <c r="J414" s="24" t="s">
        <v>63</v>
      </c>
      <c r="K414" s="24" t="s">
        <v>69</v>
      </c>
    </row>
    <row r="415" spans="1:11" x14ac:dyDescent="0.3">
      <c r="A415" s="24" t="s">
        <v>649</v>
      </c>
      <c r="B415" s="25">
        <v>46289</v>
      </c>
      <c r="C415" s="24" t="s">
        <v>35</v>
      </c>
      <c r="D415" s="24" t="s">
        <v>28</v>
      </c>
      <c r="E415" s="26">
        <v>4999</v>
      </c>
      <c r="F415" s="24">
        <v>3</v>
      </c>
      <c r="G415" s="26">
        <v>14997</v>
      </c>
      <c r="H415" s="24" t="s">
        <v>92</v>
      </c>
      <c r="I415" s="24" t="s">
        <v>51</v>
      </c>
      <c r="J415" s="24" t="s">
        <v>63</v>
      </c>
      <c r="K415" s="24" t="s">
        <v>67</v>
      </c>
    </row>
    <row r="416" spans="1:11" x14ac:dyDescent="0.3">
      <c r="A416" s="24" t="s">
        <v>650</v>
      </c>
      <c r="B416" s="25">
        <v>46289</v>
      </c>
      <c r="C416" s="24" t="s">
        <v>44</v>
      </c>
      <c r="D416" s="24" t="s">
        <v>29</v>
      </c>
      <c r="E416" s="26">
        <v>499</v>
      </c>
      <c r="F416" s="24">
        <v>1</v>
      </c>
      <c r="G416" s="26">
        <v>749</v>
      </c>
      <c r="H416" s="24" t="s">
        <v>651</v>
      </c>
      <c r="I416" s="24" t="s">
        <v>53</v>
      </c>
      <c r="J416" s="24" t="s">
        <v>62</v>
      </c>
      <c r="K416" s="24" t="s">
        <v>68</v>
      </c>
    </row>
    <row r="417" spans="1:11" x14ac:dyDescent="0.3">
      <c r="A417" s="24" t="s">
        <v>652</v>
      </c>
      <c r="B417" s="25">
        <v>46289</v>
      </c>
      <c r="C417" s="24" t="s">
        <v>45</v>
      </c>
      <c r="D417" s="24" t="s">
        <v>30</v>
      </c>
      <c r="E417" s="26">
        <v>899</v>
      </c>
      <c r="F417" s="24">
        <v>3</v>
      </c>
      <c r="G417" s="26">
        <v>2697</v>
      </c>
      <c r="H417" s="24" t="s">
        <v>74</v>
      </c>
      <c r="I417" s="24" t="s">
        <v>50</v>
      </c>
      <c r="J417" s="24" t="s">
        <v>64</v>
      </c>
      <c r="K417" s="24" t="s">
        <v>69</v>
      </c>
    </row>
    <row r="418" spans="1:11" x14ac:dyDescent="0.3">
      <c r="A418" s="24" t="s">
        <v>653</v>
      </c>
      <c r="B418" s="25">
        <v>46289</v>
      </c>
      <c r="C418" s="24" t="s">
        <v>38</v>
      </c>
      <c r="D418" s="24" t="s">
        <v>28</v>
      </c>
      <c r="E418" s="26">
        <v>2499</v>
      </c>
      <c r="F418" s="24">
        <v>1</v>
      </c>
      <c r="G418" s="26">
        <v>2499</v>
      </c>
      <c r="H418" s="24" t="s">
        <v>654</v>
      </c>
      <c r="I418" s="24" t="s">
        <v>51</v>
      </c>
      <c r="J418" s="24" t="s">
        <v>61</v>
      </c>
      <c r="K418" s="24" t="s">
        <v>67</v>
      </c>
    </row>
    <row r="419" spans="1:11" x14ac:dyDescent="0.3">
      <c r="A419" s="24" t="s">
        <v>655</v>
      </c>
      <c r="B419" s="25">
        <v>46289</v>
      </c>
      <c r="C419" s="24" t="s">
        <v>656</v>
      </c>
      <c r="D419" s="24" t="s">
        <v>32</v>
      </c>
      <c r="E419" s="26">
        <v>699</v>
      </c>
      <c r="F419" s="24">
        <v>4</v>
      </c>
      <c r="G419" s="26">
        <v>2796</v>
      </c>
      <c r="H419" s="24" t="s">
        <v>77</v>
      </c>
      <c r="I419" s="24" t="s">
        <v>57</v>
      </c>
      <c r="J419" s="24" t="s">
        <v>63</v>
      </c>
      <c r="K419" s="24" t="s">
        <v>67</v>
      </c>
    </row>
    <row r="420" spans="1:11" x14ac:dyDescent="0.3">
      <c r="A420" s="24" t="s">
        <v>657</v>
      </c>
      <c r="B420" s="25">
        <v>46289</v>
      </c>
      <c r="C420" s="24" t="s">
        <v>40</v>
      </c>
      <c r="D420" s="24" t="s">
        <v>30</v>
      </c>
      <c r="E420" s="26">
        <v>2199</v>
      </c>
      <c r="F420" s="24">
        <v>1</v>
      </c>
      <c r="G420" s="26">
        <v>2199</v>
      </c>
      <c r="H420" s="24" t="s">
        <v>91</v>
      </c>
      <c r="I420" s="24" t="s">
        <v>321</v>
      </c>
      <c r="J420" s="24" t="s">
        <v>61</v>
      </c>
      <c r="K420" s="24" t="s">
        <v>163</v>
      </c>
    </row>
    <row r="421" spans="1:11" x14ac:dyDescent="0.3">
      <c r="A421" s="24" t="s">
        <v>658</v>
      </c>
      <c r="B421" s="25">
        <v>46289</v>
      </c>
      <c r="C421" s="24" t="s">
        <v>44</v>
      </c>
      <c r="D421" s="24" t="s">
        <v>29</v>
      </c>
      <c r="E421" s="26">
        <v>499</v>
      </c>
      <c r="F421" s="24">
        <v>4</v>
      </c>
      <c r="G421" s="26">
        <v>1996</v>
      </c>
      <c r="H421" s="24" t="s">
        <v>88</v>
      </c>
      <c r="I421" s="24" t="s">
        <v>53</v>
      </c>
      <c r="J421" s="24" t="s">
        <v>61</v>
      </c>
      <c r="K421" s="24" t="s">
        <v>69</v>
      </c>
    </row>
    <row r="422" spans="1:11" x14ac:dyDescent="0.3">
      <c r="A422" s="24" t="s">
        <v>659</v>
      </c>
      <c r="B422" s="25">
        <v>46289</v>
      </c>
      <c r="C422" s="24" t="s">
        <v>44</v>
      </c>
      <c r="D422" s="24" t="s">
        <v>29</v>
      </c>
      <c r="E422" s="26">
        <v>499</v>
      </c>
      <c r="F422" s="24">
        <v>1</v>
      </c>
      <c r="G422" s="26">
        <v>499</v>
      </c>
      <c r="H422" s="24" t="s">
        <v>260</v>
      </c>
      <c r="I422" s="24" t="s">
        <v>50</v>
      </c>
      <c r="J422" s="24" t="s">
        <v>64</v>
      </c>
      <c r="K422" s="24" t="s">
        <v>67</v>
      </c>
    </row>
    <row r="423" spans="1:11" x14ac:dyDescent="0.3">
      <c r="A423" s="24" t="s">
        <v>660</v>
      </c>
      <c r="B423" s="25">
        <v>46289</v>
      </c>
      <c r="C423" s="24" t="s">
        <v>35</v>
      </c>
      <c r="D423" s="24" t="s">
        <v>28</v>
      </c>
      <c r="E423" s="26">
        <v>4999</v>
      </c>
      <c r="F423" s="24">
        <v>1</v>
      </c>
      <c r="G423" s="26">
        <v>4999</v>
      </c>
      <c r="H423" s="24" t="s">
        <v>88</v>
      </c>
      <c r="I423" s="24" t="s">
        <v>53</v>
      </c>
      <c r="J423" s="24" t="s">
        <v>61</v>
      </c>
      <c r="K423" s="24" t="s">
        <v>67</v>
      </c>
    </row>
    <row r="424" spans="1:11" x14ac:dyDescent="0.3">
      <c r="A424" s="24" t="s">
        <v>661</v>
      </c>
      <c r="B424" s="25">
        <v>46289</v>
      </c>
      <c r="C424" s="24" t="s">
        <v>41</v>
      </c>
      <c r="D424" s="24" t="s">
        <v>31</v>
      </c>
      <c r="E424" s="26">
        <v>1799</v>
      </c>
      <c r="F424" s="24">
        <v>1</v>
      </c>
      <c r="G424" s="26">
        <v>1799</v>
      </c>
      <c r="H424" s="24" t="s">
        <v>86</v>
      </c>
      <c r="I424" s="24" t="s">
        <v>50</v>
      </c>
      <c r="J424" s="24" t="s">
        <v>61</v>
      </c>
      <c r="K424" s="24" t="s">
        <v>67</v>
      </c>
    </row>
    <row r="425" spans="1:11" x14ac:dyDescent="0.3">
      <c r="A425" s="24" t="s">
        <v>662</v>
      </c>
      <c r="B425" s="25">
        <v>46289</v>
      </c>
      <c r="C425" s="24" t="s">
        <v>39</v>
      </c>
      <c r="D425" s="24" t="s">
        <v>29</v>
      </c>
      <c r="E425" s="26">
        <v>5999</v>
      </c>
      <c r="F425" s="24">
        <v>1</v>
      </c>
      <c r="G425" s="26">
        <v>5999</v>
      </c>
      <c r="H425" s="24" t="s">
        <v>105</v>
      </c>
      <c r="I425" s="24" t="s">
        <v>50</v>
      </c>
      <c r="J425" s="24" t="s">
        <v>61</v>
      </c>
      <c r="K425" s="24" t="s">
        <v>163</v>
      </c>
    </row>
    <row r="426" spans="1:11" x14ac:dyDescent="0.3">
      <c r="A426" s="24" t="s">
        <v>663</v>
      </c>
      <c r="B426" s="25">
        <v>46289</v>
      </c>
      <c r="C426" s="24" t="s">
        <v>48</v>
      </c>
      <c r="D426" s="24" t="s">
        <v>32</v>
      </c>
      <c r="E426" s="26">
        <v>399</v>
      </c>
      <c r="F426" s="24">
        <v>1</v>
      </c>
      <c r="G426" s="26">
        <v>399</v>
      </c>
      <c r="H426" s="24" t="s">
        <v>123</v>
      </c>
      <c r="I426" s="24" t="s">
        <v>55</v>
      </c>
      <c r="J426" s="24" t="s">
        <v>63</v>
      </c>
      <c r="K426" s="24" t="s">
        <v>67</v>
      </c>
    </row>
    <row r="427" spans="1:11" x14ac:dyDescent="0.3">
      <c r="A427" s="24" t="s">
        <v>664</v>
      </c>
      <c r="B427" s="25">
        <v>46290</v>
      </c>
      <c r="C427" s="24" t="s">
        <v>44</v>
      </c>
      <c r="D427" s="24" t="s">
        <v>29</v>
      </c>
      <c r="E427" s="26">
        <v>499</v>
      </c>
      <c r="F427" s="24">
        <v>1</v>
      </c>
      <c r="G427" s="26">
        <v>499</v>
      </c>
      <c r="H427" s="24" t="s">
        <v>74</v>
      </c>
      <c r="I427" s="24" t="s">
        <v>449</v>
      </c>
      <c r="J427" s="24" t="s">
        <v>62</v>
      </c>
      <c r="K427" s="24" t="s">
        <v>67</v>
      </c>
    </row>
    <row r="428" spans="1:11" x14ac:dyDescent="0.3">
      <c r="A428" s="24" t="s">
        <v>665</v>
      </c>
      <c r="B428" s="25">
        <v>46290</v>
      </c>
      <c r="C428" s="24" t="s">
        <v>145</v>
      </c>
      <c r="D428" s="24" t="s">
        <v>32</v>
      </c>
      <c r="E428" s="26">
        <v>399</v>
      </c>
      <c r="F428" s="24">
        <v>1</v>
      </c>
      <c r="G428" s="26">
        <v>399</v>
      </c>
      <c r="H428" s="24" t="s">
        <v>125</v>
      </c>
      <c r="I428" s="24" t="s">
        <v>205</v>
      </c>
      <c r="J428" s="24" t="s">
        <v>63</v>
      </c>
      <c r="K428" s="24" t="s">
        <v>67</v>
      </c>
    </row>
    <row r="429" spans="1:11" x14ac:dyDescent="0.3">
      <c r="A429" s="24" t="s">
        <v>666</v>
      </c>
      <c r="B429" s="25">
        <v>46290</v>
      </c>
      <c r="C429" s="24" t="s">
        <v>667</v>
      </c>
      <c r="D429" s="24" t="s">
        <v>28</v>
      </c>
      <c r="E429" s="26">
        <v>2499</v>
      </c>
      <c r="F429" s="24">
        <v>1</v>
      </c>
      <c r="G429" s="26">
        <v>2499</v>
      </c>
      <c r="H429" s="24" t="s">
        <v>85</v>
      </c>
      <c r="I429" s="24" t="s">
        <v>53</v>
      </c>
      <c r="J429" s="24" t="s">
        <v>61</v>
      </c>
      <c r="K429" s="24" t="s">
        <v>67</v>
      </c>
    </row>
    <row r="430" spans="1:11" x14ac:dyDescent="0.3">
      <c r="A430" s="24" t="s">
        <v>668</v>
      </c>
      <c r="B430" s="25">
        <v>46290</v>
      </c>
      <c r="C430" s="24" t="s">
        <v>43</v>
      </c>
      <c r="D430" s="24" t="s">
        <v>28</v>
      </c>
      <c r="E430" s="26">
        <v>1299</v>
      </c>
      <c r="F430" s="24">
        <v>1</v>
      </c>
      <c r="G430" s="26">
        <v>1299</v>
      </c>
      <c r="H430" s="24" t="s">
        <v>81</v>
      </c>
      <c r="I430" s="24" t="s">
        <v>150</v>
      </c>
      <c r="J430" s="24" t="s">
        <v>62</v>
      </c>
      <c r="K430" s="24" t="s">
        <v>67</v>
      </c>
    </row>
    <row r="431" spans="1:11" x14ac:dyDescent="0.3">
      <c r="A431" s="24" t="s">
        <v>669</v>
      </c>
      <c r="B431" s="25">
        <v>46290</v>
      </c>
      <c r="C431" s="24" t="s">
        <v>41</v>
      </c>
      <c r="D431" s="24" t="s">
        <v>31</v>
      </c>
      <c r="E431" s="26">
        <v>1799</v>
      </c>
      <c r="F431" s="24">
        <v>2</v>
      </c>
      <c r="G431" s="26">
        <v>3598</v>
      </c>
      <c r="H431" s="24" t="s">
        <v>101</v>
      </c>
      <c r="I431" s="24" t="s">
        <v>152</v>
      </c>
      <c r="J431" s="24" t="s">
        <v>63</v>
      </c>
      <c r="K431" s="24" t="s">
        <v>67</v>
      </c>
    </row>
    <row r="432" spans="1:11" x14ac:dyDescent="0.3">
      <c r="A432" s="24" t="s">
        <v>670</v>
      </c>
      <c r="B432" s="25">
        <v>46290</v>
      </c>
      <c r="C432" s="24" t="s">
        <v>43</v>
      </c>
      <c r="D432" s="24" t="s">
        <v>28</v>
      </c>
      <c r="E432" s="26">
        <v>1299</v>
      </c>
      <c r="F432" s="24">
        <v>4</v>
      </c>
      <c r="G432" s="26">
        <v>5196</v>
      </c>
      <c r="H432" s="24" t="s">
        <v>93</v>
      </c>
      <c r="I432" s="24" t="s">
        <v>55</v>
      </c>
      <c r="J432" s="24" t="s">
        <v>63</v>
      </c>
      <c r="K432" s="24" t="s">
        <v>67</v>
      </c>
    </row>
    <row r="433" spans="1:11" x14ac:dyDescent="0.3">
      <c r="A433" s="24" t="s">
        <v>671</v>
      </c>
      <c r="B433" s="25">
        <v>46290</v>
      </c>
      <c r="C433" s="24" t="s">
        <v>43</v>
      </c>
      <c r="D433" s="24" t="s">
        <v>28</v>
      </c>
      <c r="E433" s="26">
        <v>1299</v>
      </c>
      <c r="F433" s="24">
        <v>1</v>
      </c>
      <c r="G433" s="26">
        <v>1299</v>
      </c>
      <c r="H433" s="24" t="s">
        <v>90</v>
      </c>
      <c r="I433" s="24" t="s">
        <v>52</v>
      </c>
      <c r="J433" s="24" t="s">
        <v>62</v>
      </c>
      <c r="K433" s="24" t="s">
        <v>67</v>
      </c>
    </row>
    <row r="434" spans="1:11" x14ac:dyDescent="0.3">
      <c r="A434" s="24" t="s">
        <v>672</v>
      </c>
      <c r="B434" s="25">
        <v>46290</v>
      </c>
      <c r="C434" s="24" t="s">
        <v>41</v>
      </c>
      <c r="D434" s="24" t="s">
        <v>31</v>
      </c>
      <c r="E434" s="26">
        <v>1799</v>
      </c>
      <c r="F434" s="24">
        <v>2</v>
      </c>
      <c r="G434" s="26">
        <v>3598</v>
      </c>
      <c r="H434" s="24" t="s">
        <v>84</v>
      </c>
      <c r="I434" s="24" t="s">
        <v>54</v>
      </c>
      <c r="J434" s="24" t="s">
        <v>61</v>
      </c>
      <c r="K434" s="24" t="s">
        <v>163</v>
      </c>
    </row>
    <row r="435" spans="1:11" x14ac:dyDescent="0.3">
      <c r="A435" s="24" t="s">
        <v>673</v>
      </c>
      <c r="B435" s="25">
        <v>46290</v>
      </c>
      <c r="C435" s="24" t="s">
        <v>43</v>
      </c>
      <c r="D435" s="24" t="s">
        <v>28</v>
      </c>
      <c r="E435" s="26">
        <v>1299</v>
      </c>
      <c r="F435" s="24">
        <v>1</v>
      </c>
      <c r="G435" s="26">
        <v>1299</v>
      </c>
      <c r="H435" s="24" t="s">
        <v>91</v>
      </c>
      <c r="I435" s="24" t="s">
        <v>52</v>
      </c>
      <c r="J435" s="24" t="s">
        <v>61</v>
      </c>
      <c r="K435" s="24" t="s">
        <v>67</v>
      </c>
    </row>
    <row r="436" spans="1:11" x14ac:dyDescent="0.3">
      <c r="A436" s="24" t="s">
        <v>674</v>
      </c>
      <c r="B436" s="25">
        <v>46290</v>
      </c>
      <c r="C436" s="24" t="s">
        <v>45</v>
      </c>
      <c r="D436" s="24" t="s">
        <v>30</v>
      </c>
      <c r="E436" s="26">
        <v>899</v>
      </c>
      <c r="F436" s="24">
        <v>1</v>
      </c>
      <c r="G436" s="26">
        <v>899</v>
      </c>
      <c r="H436" s="24" t="s">
        <v>83</v>
      </c>
      <c r="I436" s="24" t="s">
        <v>51</v>
      </c>
      <c r="J436" s="24" t="s">
        <v>61</v>
      </c>
      <c r="K436" s="24" t="s">
        <v>67</v>
      </c>
    </row>
    <row r="437" spans="1:11" x14ac:dyDescent="0.3">
      <c r="A437" s="24" t="s">
        <v>675</v>
      </c>
      <c r="B437" s="25">
        <v>46290</v>
      </c>
      <c r="C437" s="24" t="s">
        <v>298</v>
      </c>
      <c r="D437" s="24" t="s">
        <v>28</v>
      </c>
      <c r="E437" s="26">
        <v>2499</v>
      </c>
      <c r="F437" s="24">
        <v>1</v>
      </c>
      <c r="G437" s="26">
        <v>2499</v>
      </c>
      <c r="H437" s="24" t="s">
        <v>123</v>
      </c>
      <c r="I437" s="24" t="s">
        <v>55</v>
      </c>
      <c r="J437" s="24" t="s">
        <v>63</v>
      </c>
      <c r="K437" s="24" t="s">
        <v>67</v>
      </c>
    </row>
    <row r="438" spans="1:11" x14ac:dyDescent="0.3">
      <c r="A438" s="24" t="s">
        <v>676</v>
      </c>
      <c r="B438" s="25">
        <v>46290</v>
      </c>
      <c r="C438" s="24" t="s">
        <v>48</v>
      </c>
      <c r="D438" s="24" t="s">
        <v>32</v>
      </c>
      <c r="E438" s="26">
        <v>399</v>
      </c>
      <c r="F438" s="24">
        <v>4</v>
      </c>
      <c r="G438" s="26">
        <v>1596</v>
      </c>
      <c r="H438" s="24" t="s">
        <v>97</v>
      </c>
      <c r="I438" s="24" t="s">
        <v>56</v>
      </c>
      <c r="J438" s="24" t="s">
        <v>61</v>
      </c>
      <c r="K438" s="24" t="s">
        <v>67</v>
      </c>
    </row>
    <row r="439" spans="1:11" x14ac:dyDescent="0.3">
      <c r="A439" s="24" t="s">
        <v>677</v>
      </c>
      <c r="B439" s="25">
        <v>46290</v>
      </c>
      <c r="C439" s="24" t="s">
        <v>41</v>
      </c>
      <c r="D439" s="24" t="s">
        <v>31</v>
      </c>
      <c r="E439" s="26">
        <v>1799</v>
      </c>
      <c r="F439" s="24">
        <v>2</v>
      </c>
      <c r="G439" s="26">
        <v>3598</v>
      </c>
      <c r="H439" s="24" t="s">
        <v>97</v>
      </c>
      <c r="I439" s="24" t="s">
        <v>56</v>
      </c>
      <c r="J439" s="24" t="s">
        <v>61</v>
      </c>
      <c r="K439" s="24" t="s">
        <v>69</v>
      </c>
    </row>
    <row r="440" spans="1:11" x14ac:dyDescent="0.3">
      <c r="A440" s="24" t="s">
        <v>678</v>
      </c>
      <c r="B440" s="25">
        <v>46290</v>
      </c>
      <c r="C440" s="24" t="s">
        <v>42</v>
      </c>
      <c r="D440" s="24" t="s">
        <v>28</v>
      </c>
      <c r="E440" s="26">
        <v>1999</v>
      </c>
      <c r="F440" s="24">
        <v>1</v>
      </c>
      <c r="G440" s="26">
        <v>1999</v>
      </c>
      <c r="H440" s="24" t="s">
        <v>119</v>
      </c>
      <c r="I440" s="24" t="s">
        <v>51</v>
      </c>
      <c r="J440" s="24" t="s">
        <v>62</v>
      </c>
      <c r="K440" s="24" t="s">
        <v>67</v>
      </c>
    </row>
    <row r="441" spans="1:11" x14ac:dyDescent="0.3">
      <c r="A441" s="24" t="s">
        <v>679</v>
      </c>
      <c r="B441" s="25">
        <v>46290</v>
      </c>
      <c r="C441" s="24" t="s">
        <v>43</v>
      </c>
      <c r="D441" s="24" t="s">
        <v>28</v>
      </c>
      <c r="E441" s="26">
        <v>1299</v>
      </c>
      <c r="F441" s="24">
        <v>1</v>
      </c>
      <c r="G441" s="26">
        <v>1299</v>
      </c>
      <c r="H441" s="24" t="s">
        <v>124</v>
      </c>
      <c r="I441" s="24" t="s">
        <v>51</v>
      </c>
      <c r="J441" s="24" t="s">
        <v>64</v>
      </c>
      <c r="K441" s="24" t="s">
        <v>67</v>
      </c>
    </row>
    <row r="442" spans="1:11" x14ac:dyDescent="0.3">
      <c r="A442" s="24" t="s">
        <v>680</v>
      </c>
      <c r="B442" s="25">
        <v>46291</v>
      </c>
      <c r="C442" s="24" t="s">
        <v>37</v>
      </c>
      <c r="D442" s="24" t="s">
        <v>29</v>
      </c>
      <c r="E442" s="26">
        <v>3499</v>
      </c>
      <c r="F442" s="24">
        <v>1</v>
      </c>
      <c r="G442" s="26">
        <v>3499</v>
      </c>
      <c r="H442" s="24" t="s">
        <v>102</v>
      </c>
      <c r="I442" s="24" t="s">
        <v>58</v>
      </c>
      <c r="J442" s="24" t="s">
        <v>63</v>
      </c>
      <c r="K442" s="24" t="s">
        <v>67</v>
      </c>
    </row>
    <row r="443" spans="1:11" x14ac:dyDescent="0.3">
      <c r="A443" s="24" t="s">
        <v>681</v>
      </c>
      <c r="B443" s="25">
        <v>46291</v>
      </c>
      <c r="C443" s="24" t="s">
        <v>40</v>
      </c>
      <c r="D443" s="24" t="s">
        <v>30</v>
      </c>
      <c r="E443" s="26">
        <v>2199</v>
      </c>
      <c r="F443" s="24">
        <v>1</v>
      </c>
      <c r="G443" s="26">
        <v>2199</v>
      </c>
      <c r="H443" s="24" t="s">
        <v>118</v>
      </c>
      <c r="I443" s="24" t="s">
        <v>51</v>
      </c>
      <c r="J443" s="24" t="s">
        <v>63</v>
      </c>
      <c r="K443" s="24" t="s">
        <v>67</v>
      </c>
    </row>
    <row r="444" spans="1:11" x14ac:dyDescent="0.3">
      <c r="A444" s="24" t="s">
        <v>682</v>
      </c>
      <c r="B444" s="25">
        <v>46291</v>
      </c>
      <c r="C444" s="24" t="s">
        <v>46</v>
      </c>
      <c r="D444" s="24" t="s">
        <v>31</v>
      </c>
      <c r="E444" s="26">
        <v>599</v>
      </c>
      <c r="F444" s="24">
        <v>2</v>
      </c>
      <c r="G444" s="26">
        <v>1198</v>
      </c>
      <c r="H444" s="24" t="s">
        <v>111</v>
      </c>
      <c r="I444" s="24" t="s">
        <v>612</v>
      </c>
      <c r="J444" s="24" t="s">
        <v>62</v>
      </c>
      <c r="K444" s="24" t="s">
        <v>67</v>
      </c>
    </row>
    <row r="445" spans="1:11" x14ac:dyDescent="0.3">
      <c r="A445" s="24" t="s">
        <v>683</v>
      </c>
      <c r="B445" s="25">
        <v>46291</v>
      </c>
      <c r="C445" s="24" t="s">
        <v>38</v>
      </c>
      <c r="D445" s="24" t="s">
        <v>28</v>
      </c>
      <c r="E445" s="26">
        <v>2499</v>
      </c>
      <c r="F445" s="24">
        <v>1</v>
      </c>
      <c r="G445" s="26">
        <v>2499</v>
      </c>
      <c r="H445" s="24" t="s">
        <v>131</v>
      </c>
      <c r="I445" s="24" t="s">
        <v>50</v>
      </c>
      <c r="J445" s="24" t="s">
        <v>65</v>
      </c>
      <c r="K445" s="24" t="s">
        <v>67</v>
      </c>
    </row>
    <row r="446" spans="1:11" x14ac:dyDescent="0.3">
      <c r="A446" s="24" t="s">
        <v>684</v>
      </c>
      <c r="B446" s="25">
        <v>46291</v>
      </c>
      <c r="C446" s="24" t="s">
        <v>46</v>
      </c>
      <c r="D446" s="24" t="s">
        <v>31</v>
      </c>
      <c r="E446" s="26">
        <v>599</v>
      </c>
      <c r="F446" s="24">
        <v>2</v>
      </c>
      <c r="G446" s="26">
        <v>1198</v>
      </c>
      <c r="H446" s="24" t="s">
        <v>98</v>
      </c>
      <c r="I446" s="24" t="s">
        <v>51</v>
      </c>
      <c r="J446" s="24" t="s">
        <v>62</v>
      </c>
      <c r="K446" s="24" t="s">
        <v>67</v>
      </c>
    </row>
    <row r="447" spans="1:11" x14ac:dyDescent="0.3">
      <c r="A447" s="24" t="s">
        <v>685</v>
      </c>
      <c r="B447" s="25">
        <v>46291</v>
      </c>
      <c r="C447" s="24" t="s">
        <v>35</v>
      </c>
      <c r="D447" s="24" t="s">
        <v>28</v>
      </c>
      <c r="E447" s="26">
        <v>4999</v>
      </c>
      <c r="F447" s="24">
        <v>1</v>
      </c>
      <c r="G447" s="26">
        <v>4999</v>
      </c>
      <c r="H447" s="24" t="s">
        <v>121</v>
      </c>
      <c r="I447" s="24" t="s">
        <v>55</v>
      </c>
      <c r="J447" s="24" t="s">
        <v>64</v>
      </c>
      <c r="K447" s="24" t="s">
        <v>67</v>
      </c>
    </row>
    <row r="448" spans="1:11" x14ac:dyDescent="0.3">
      <c r="A448" s="24" t="s">
        <v>686</v>
      </c>
      <c r="B448" s="25">
        <v>46291</v>
      </c>
      <c r="C448" s="24" t="s">
        <v>36</v>
      </c>
      <c r="D448" s="24" t="s">
        <v>30</v>
      </c>
      <c r="E448" s="26">
        <v>3299</v>
      </c>
      <c r="F448" s="24">
        <v>1</v>
      </c>
      <c r="G448" s="26">
        <v>3299</v>
      </c>
      <c r="H448" s="24" t="s">
        <v>130</v>
      </c>
      <c r="I448" s="24" t="s">
        <v>54</v>
      </c>
      <c r="J448" s="24" t="s">
        <v>63</v>
      </c>
      <c r="K448" s="24" t="s">
        <v>163</v>
      </c>
    </row>
    <row r="449" spans="1:11" x14ac:dyDescent="0.3">
      <c r="A449" s="24" t="s">
        <v>687</v>
      </c>
      <c r="B449" s="25">
        <v>46291</v>
      </c>
      <c r="C449" s="24" t="s">
        <v>42</v>
      </c>
      <c r="D449" s="24" t="s">
        <v>28</v>
      </c>
      <c r="E449" s="26">
        <v>1999</v>
      </c>
      <c r="F449" s="24">
        <v>3</v>
      </c>
      <c r="G449" s="26">
        <v>5997</v>
      </c>
      <c r="H449" s="24" t="s">
        <v>330</v>
      </c>
      <c r="I449" s="24" t="s">
        <v>58</v>
      </c>
      <c r="J449" s="24" t="s">
        <v>61</v>
      </c>
      <c r="K449" s="24" t="s">
        <v>68</v>
      </c>
    </row>
    <row r="450" spans="1:11" x14ac:dyDescent="0.3">
      <c r="A450" s="24" t="s">
        <v>688</v>
      </c>
      <c r="B450" s="25">
        <v>46291</v>
      </c>
      <c r="C450" s="24" t="s">
        <v>44</v>
      </c>
      <c r="D450" s="24" t="s">
        <v>29</v>
      </c>
      <c r="E450" s="26">
        <v>499</v>
      </c>
      <c r="F450" s="24">
        <v>4</v>
      </c>
      <c r="G450" s="26">
        <v>1996</v>
      </c>
      <c r="H450" s="24" t="s">
        <v>689</v>
      </c>
      <c r="I450" s="24" t="s">
        <v>51</v>
      </c>
      <c r="J450" s="24" t="s">
        <v>61</v>
      </c>
      <c r="K450" s="24" t="s">
        <v>163</v>
      </c>
    </row>
    <row r="451" spans="1:11" x14ac:dyDescent="0.3">
      <c r="A451" s="24" t="s">
        <v>690</v>
      </c>
      <c r="B451" s="25">
        <v>46291</v>
      </c>
      <c r="C451" s="24" t="s">
        <v>47</v>
      </c>
      <c r="D451" s="24" t="s">
        <v>32</v>
      </c>
      <c r="E451" s="26">
        <v>699</v>
      </c>
      <c r="F451" s="24">
        <v>1</v>
      </c>
      <c r="G451" s="26">
        <v>699</v>
      </c>
      <c r="H451" s="24" t="s">
        <v>130</v>
      </c>
      <c r="I451" s="24" t="s">
        <v>612</v>
      </c>
      <c r="J451" s="24" t="s">
        <v>63</v>
      </c>
      <c r="K451" s="24" t="s">
        <v>67</v>
      </c>
    </row>
    <row r="452" spans="1:11" x14ac:dyDescent="0.3">
      <c r="A452" s="24" t="s">
        <v>691</v>
      </c>
      <c r="B452" s="25">
        <v>46291</v>
      </c>
      <c r="C452" s="24" t="s">
        <v>35</v>
      </c>
      <c r="D452" s="24" t="s">
        <v>28</v>
      </c>
      <c r="E452" s="26">
        <v>4999</v>
      </c>
      <c r="F452" s="24">
        <v>1</v>
      </c>
      <c r="G452" s="26">
        <v>4999</v>
      </c>
      <c r="H452" s="24" t="s">
        <v>126</v>
      </c>
      <c r="I452" s="24" t="s">
        <v>50</v>
      </c>
      <c r="J452" s="24" t="s">
        <v>61</v>
      </c>
      <c r="K452" s="24" t="s">
        <v>69</v>
      </c>
    </row>
    <row r="453" spans="1:11" x14ac:dyDescent="0.3">
      <c r="A453" s="24" t="s">
        <v>692</v>
      </c>
      <c r="B453" s="25">
        <v>46291</v>
      </c>
      <c r="C453" s="24" t="s">
        <v>39</v>
      </c>
      <c r="D453" s="24" t="s">
        <v>29</v>
      </c>
      <c r="E453" s="26">
        <v>5999</v>
      </c>
      <c r="F453" s="24">
        <v>1</v>
      </c>
      <c r="G453" s="26">
        <v>5999</v>
      </c>
      <c r="H453" s="24" t="s">
        <v>693</v>
      </c>
      <c r="I453" s="24" t="s">
        <v>55</v>
      </c>
      <c r="J453" s="24" t="s">
        <v>63</v>
      </c>
      <c r="K453" s="24" t="s">
        <v>69</v>
      </c>
    </row>
    <row r="454" spans="1:11" x14ac:dyDescent="0.3">
      <c r="A454" s="24" t="s">
        <v>694</v>
      </c>
      <c r="B454" s="25">
        <v>46291</v>
      </c>
      <c r="C454" s="24" t="s">
        <v>35</v>
      </c>
      <c r="D454" s="24" t="s">
        <v>28</v>
      </c>
      <c r="E454" s="26">
        <v>4999</v>
      </c>
      <c r="F454" s="24">
        <v>2</v>
      </c>
      <c r="G454" s="26">
        <v>9998</v>
      </c>
      <c r="H454" s="24" t="s">
        <v>93</v>
      </c>
      <c r="I454" s="24" t="s">
        <v>55</v>
      </c>
      <c r="J454" s="24" t="s">
        <v>61</v>
      </c>
      <c r="K454" s="24" t="s">
        <v>67</v>
      </c>
    </row>
    <row r="455" spans="1:11" x14ac:dyDescent="0.3">
      <c r="A455" s="24" t="s">
        <v>695</v>
      </c>
      <c r="B455" s="25">
        <v>46291</v>
      </c>
      <c r="C455" s="24" t="s">
        <v>35</v>
      </c>
      <c r="D455" s="24" t="s">
        <v>28</v>
      </c>
      <c r="E455" s="26">
        <v>4999</v>
      </c>
      <c r="F455" s="24">
        <v>1</v>
      </c>
      <c r="G455" s="26">
        <v>4999</v>
      </c>
      <c r="H455" s="24" t="s">
        <v>112</v>
      </c>
      <c r="I455" s="24" t="s">
        <v>50</v>
      </c>
      <c r="J455" s="24" t="s">
        <v>62</v>
      </c>
      <c r="K455" s="24" t="s">
        <v>67</v>
      </c>
    </row>
    <row r="456" spans="1:11" x14ac:dyDescent="0.3">
      <c r="A456" s="24" t="s">
        <v>696</v>
      </c>
      <c r="B456" s="25">
        <v>46291</v>
      </c>
      <c r="C456" s="24" t="s">
        <v>41</v>
      </c>
      <c r="D456" s="24" t="s">
        <v>31</v>
      </c>
      <c r="E456" s="26">
        <v>1799</v>
      </c>
      <c r="F456" s="24">
        <v>1</v>
      </c>
      <c r="G456" s="26">
        <v>1799</v>
      </c>
      <c r="H456" s="24" t="s">
        <v>693</v>
      </c>
      <c r="I456" s="24" t="s">
        <v>55</v>
      </c>
      <c r="J456" s="24" t="s">
        <v>62</v>
      </c>
      <c r="K456" s="24" t="s">
        <v>67</v>
      </c>
    </row>
    <row r="457" spans="1:11" x14ac:dyDescent="0.3">
      <c r="A457" s="24" t="s">
        <v>697</v>
      </c>
      <c r="B457" s="25">
        <v>46291</v>
      </c>
      <c r="C457" s="24" t="s">
        <v>40</v>
      </c>
      <c r="D457" s="24" t="s">
        <v>30</v>
      </c>
      <c r="E457" s="26">
        <v>2199</v>
      </c>
      <c r="F457" s="24">
        <v>1</v>
      </c>
      <c r="G457" s="26">
        <v>2199</v>
      </c>
      <c r="H457" s="24" t="s">
        <v>74</v>
      </c>
      <c r="I457" s="24" t="s">
        <v>50</v>
      </c>
      <c r="J457" s="24" t="s">
        <v>62</v>
      </c>
      <c r="K457" s="24" t="s">
        <v>67</v>
      </c>
    </row>
    <row r="458" spans="1:11" x14ac:dyDescent="0.3">
      <c r="A458" s="24" t="s">
        <v>698</v>
      </c>
      <c r="B458" s="25">
        <v>46291</v>
      </c>
      <c r="C458" s="24" t="s">
        <v>42</v>
      </c>
      <c r="D458" s="24" t="s">
        <v>28</v>
      </c>
      <c r="E458" s="26">
        <v>1999</v>
      </c>
      <c r="F458" s="24">
        <v>1</v>
      </c>
      <c r="G458" s="26">
        <v>1999</v>
      </c>
      <c r="H458" s="24" t="s">
        <v>699</v>
      </c>
      <c r="I458" s="24" t="s">
        <v>50</v>
      </c>
      <c r="J458" s="24" t="s">
        <v>64</v>
      </c>
      <c r="K458" s="24" t="s">
        <v>67</v>
      </c>
    </row>
    <row r="459" spans="1:11" x14ac:dyDescent="0.3">
      <c r="A459" s="24" t="s">
        <v>700</v>
      </c>
      <c r="B459" s="25">
        <v>46292</v>
      </c>
      <c r="C459" s="24" t="s">
        <v>38</v>
      </c>
      <c r="D459" s="24" t="s">
        <v>28</v>
      </c>
      <c r="E459" s="26">
        <v>2499</v>
      </c>
      <c r="F459" s="24">
        <v>2</v>
      </c>
      <c r="G459" s="26">
        <v>4998</v>
      </c>
      <c r="H459" s="24" t="s">
        <v>106</v>
      </c>
      <c r="I459" s="24" t="s">
        <v>51</v>
      </c>
      <c r="J459" s="24" t="s">
        <v>61</v>
      </c>
      <c r="K459" s="24" t="s">
        <v>67</v>
      </c>
    </row>
    <row r="460" spans="1:11" x14ac:dyDescent="0.3">
      <c r="A460" s="24" t="s">
        <v>701</v>
      </c>
      <c r="B460" s="25">
        <v>46292</v>
      </c>
      <c r="C460" s="24" t="s">
        <v>45</v>
      </c>
      <c r="D460" s="24" t="s">
        <v>30</v>
      </c>
      <c r="E460" s="26">
        <v>899</v>
      </c>
      <c r="F460" s="24">
        <v>1</v>
      </c>
      <c r="G460" s="26">
        <v>899</v>
      </c>
      <c r="H460" s="24" t="s">
        <v>87</v>
      </c>
      <c r="I460" s="24" t="s">
        <v>56</v>
      </c>
      <c r="J460" s="24" t="s">
        <v>62</v>
      </c>
      <c r="K460" s="24" t="s">
        <v>69</v>
      </c>
    </row>
    <row r="461" spans="1:11" x14ac:dyDescent="0.3">
      <c r="A461" s="24" t="s">
        <v>702</v>
      </c>
      <c r="B461" s="25">
        <v>46292</v>
      </c>
      <c r="C461" s="24" t="s">
        <v>157</v>
      </c>
      <c r="D461" s="24" t="s">
        <v>29</v>
      </c>
      <c r="E461" s="26">
        <v>5999</v>
      </c>
      <c r="F461" s="24">
        <v>1</v>
      </c>
      <c r="G461" s="26">
        <v>5999</v>
      </c>
      <c r="H461" s="24" t="s">
        <v>99</v>
      </c>
      <c r="I461" s="24" t="s">
        <v>56</v>
      </c>
      <c r="J461" s="24" t="s">
        <v>62</v>
      </c>
      <c r="K461" s="24" t="s">
        <v>67</v>
      </c>
    </row>
    <row r="462" spans="1:11" x14ac:dyDescent="0.3">
      <c r="A462" s="24" t="s">
        <v>703</v>
      </c>
      <c r="B462" s="25">
        <v>46292</v>
      </c>
      <c r="C462" s="24" t="s">
        <v>39</v>
      </c>
      <c r="D462" s="24" t="s">
        <v>29</v>
      </c>
      <c r="E462" s="26">
        <v>5999</v>
      </c>
      <c r="F462" s="24">
        <v>1</v>
      </c>
      <c r="G462" s="26">
        <v>5999</v>
      </c>
      <c r="H462" s="24" t="s">
        <v>78</v>
      </c>
      <c r="I462" s="24" t="s">
        <v>53</v>
      </c>
      <c r="J462" s="24" t="s">
        <v>61</v>
      </c>
      <c r="K462" s="24" t="s">
        <v>67</v>
      </c>
    </row>
    <row r="463" spans="1:11" x14ac:dyDescent="0.3">
      <c r="A463" s="24" t="s">
        <v>704</v>
      </c>
      <c r="B463" s="25">
        <v>46292</v>
      </c>
      <c r="C463" s="24" t="s">
        <v>35</v>
      </c>
      <c r="D463" s="24" t="s">
        <v>28</v>
      </c>
      <c r="E463" s="26">
        <v>4999</v>
      </c>
      <c r="F463" s="24">
        <v>3</v>
      </c>
      <c r="G463" s="26">
        <v>14997</v>
      </c>
      <c r="H463" s="24" t="s">
        <v>113</v>
      </c>
      <c r="I463" s="24" t="s">
        <v>53</v>
      </c>
      <c r="J463" s="24" t="s">
        <v>61</v>
      </c>
      <c r="K463" s="24" t="s">
        <v>68</v>
      </c>
    </row>
    <row r="464" spans="1:11" x14ac:dyDescent="0.3">
      <c r="A464" s="24" t="s">
        <v>705</v>
      </c>
      <c r="B464" s="25">
        <v>46292</v>
      </c>
      <c r="C464" s="24" t="s">
        <v>706</v>
      </c>
      <c r="D464" s="24" t="s">
        <v>28</v>
      </c>
      <c r="E464" s="26">
        <v>1299</v>
      </c>
      <c r="F464" s="24">
        <v>2</v>
      </c>
      <c r="G464" s="26">
        <v>2598</v>
      </c>
      <c r="H464" s="24" t="s">
        <v>98</v>
      </c>
      <c r="I464" s="24" t="s">
        <v>51</v>
      </c>
      <c r="J464" s="24" t="s">
        <v>63</v>
      </c>
      <c r="K464" s="24" t="s">
        <v>67</v>
      </c>
    </row>
    <row r="465" spans="1:11" x14ac:dyDescent="0.3">
      <c r="A465" s="24" t="s">
        <v>707</v>
      </c>
      <c r="B465" s="25">
        <v>46292</v>
      </c>
      <c r="C465" s="24" t="s">
        <v>47</v>
      </c>
      <c r="D465" s="24" t="s">
        <v>32</v>
      </c>
      <c r="E465" s="26">
        <v>699</v>
      </c>
      <c r="F465" s="24">
        <v>2</v>
      </c>
      <c r="G465" s="26">
        <v>1398</v>
      </c>
      <c r="H465" s="24" t="s">
        <v>115</v>
      </c>
      <c r="I465" s="24" t="s">
        <v>57</v>
      </c>
      <c r="J465" s="24" t="s">
        <v>61</v>
      </c>
      <c r="K465" s="24" t="s">
        <v>67</v>
      </c>
    </row>
    <row r="466" spans="1:11" x14ac:dyDescent="0.3">
      <c r="A466" s="24" t="s">
        <v>708</v>
      </c>
      <c r="B466" s="25">
        <v>46292</v>
      </c>
      <c r="C466" s="24" t="s">
        <v>36</v>
      </c>
      <c r="D466" s="24" t="s">
        <v>30</v>
      </c>
      <c r="E466" s="26">
        <v>3299</v>
      </c>
      <c r="F466" s="24">
        <v>4</v>
      </c>
      <c r="G466" s="26">
        <v>13196</v>
      </c>
      <c r="H466" s="24" t="s">
        <v>113</v>
      </c>
      <c r="I466" s="24" t="s">
        <v>53</v>
      </c>
      <c r="J466" s="24" t="s">
        <v>61</v>
      </c>
      <c r="K466" s="24" t="s">
        <v>67</v>
      </c>
    </row>
    <row r="467" spans="1:11" x14ac:dyDescent="0.3">
      <c r="A467" s="24" t="s">
        <v>709</v>
      </c>
      <c r="B467" s="25">
        <v>46292</v>
      </c>
      <c r="C467" s="24" t="s">
        <v>36</v>
      </c>
      <c r="D467" s="24" t="s">
        <v>30</v>
      </c>
      <c r="E467" s="26">
        <v>3299</v>
      </c>
      <c r="F467" s="24">
        <v>1</v>
      </c>
      <c r="G467" s="26">
        <v>3299</v>
      </c>
      <c r="H467" s="24" t="s">
        <v>116</v>
      </c>
      <c r="I467" s="24" t="s">
        <v>54</v>
      </c>
      <c r="J467" s="24" t="s">
        <v>65</v>
      </c>
      <c r="K467" s="24" t="s">
        <v>163</v>
      </c>
    </row>
    <row r="468" spans="1:11" x14ac:dyDescent="0.3">
      <c r="A468" s="24" t="s">
        <v>710</v>
      </c>
      <c r="B468" s="25">
        <v>46292</v>
      </c>
      <c r="C468" s="24" t="s">
        <v>45</v>
      </c>
      <c r="D468" s="24" t="s">
        <v>30</v>
      </c>
      <c r="E468" s="26">
        <v>899</v>
      </c>
      <c r="F468" s="24">
        <v>1</v>
      </c>
      <c r="G468" s="26">
        <v>899</v>
      </c>
      <c r="H468" s="24" t="s">
        <v>82</v>
      </c>
      <c r="I468" s="24" t="s">
        <v>325</v>
      </c>
      <c r="J468" s="24" t="s">
        <v>61</v>
      </c>
      <c r="K468" s="24" t="s">
        <v>67</v>
      </c>
    </row>
    <row r="469" spans="1:11" x14ac:dyDescent="0.3">
      <c r="A469" s="24" t="s">
        <v>711</v>
      </c>
      <c r="B469" s="25">
        <v>46292</v>
      </c>
      <c r="C469" s="24" t="s">
        <v>39</v>
      </c>
      <c r="D469" s="24" t="s">
        <v>29</v>
      </c>
      <c r="E469" s="26">
        <v>5999</v>
      </c>
      <c r="F469" s="24">
        <v>2</v>
      </c>
      <c r="G469" s="26">
        <v>11998</v>
      </c>
      <c r="H469" s="24" t="s">
        <v>121</v>
      </c>
      <c r="I469" s="24" t="s">
        <v>55</v>
      </c>
      <c r="J469" s="24" t="s">
        <v>63</v>
      </c>
      <c r="K469" s="24" t="s">
        <v>69</v>
      </c>
    </row>
    <row r="470" spans="1:11" x14ac:dyDescent="0.3">
      <c r="A470" s="24" t="s">
        <v>712</v>
      </c>
      <c r="B470" s="25">
        <v>46292</v>
      </c>
      <c r="C470" s="24" t="s">
        <v>46</v>
      </c>
      <c r="D470" s="24" t="s">
        <v>31</v>
      </c>
      <c r="E470" s="26">
        <v>599</v>
      </c>
      <c r="F470" s="24">
        <v>3</v>
      </c>
      <c r="G470" s="26">
        <v>1797</v>
      </c>
      <c r="H470" s="24" t="s">
        <v>74</v>
      </c>
      <c r="I470" s="24" t="s">
        <v>50</v>
      </c>
      <c r="J470" s="24" t="s">
        <v>63</v>
      </c>
      <c r="K470" s="24" t="s">
        <v>67</v>
      </c>
    </row>
    <row r="471" spans="1:11" x14ac:dyDescent="0.3">
      <c r="A471" s="24" t="s">
        <v>713</v>
      </c>
      <c r="B471" s="25">
        <v>46292</v>
      </c>
      <c r="C471" s="24" t="s">
        <v>44</v>
      </c>
      <c r="D471" s="24" t="s">
        <v>29</v>
      </c>
      <c r="E471" s="26">
        <v>499</v>
      </c>
      <c r="F471" s="24">
        <v>2</v>
      </c>
      <c r="G471" s="26">
        <v>998</v>
      </c>
      <c r="H471" s="24" t="s">
        <v>97</v>
      </c>
      <c r="I471" s="24" t="s">
        <v>56</v>
      </c>
      <c r="J471" s="24" t="s">
        <v>63</v>
      </c>
      <c r="K471" s="24" t="s">
        <v>67</v>
      </c>
    </row>
    <row r="472" spans="1:11" x14ac:dyDescent="0.3">
      <c r="A472" s="24" t="s">
        <v>714</v>
      </c>
      <c r="B472" s="25">
        <v>46292</v>
      </c>
      <c r="C472" s="24" t="s">
        <v>35</v>
      </c>
      <c r="D472" s="24" t="s">
        <v>28</v>
      </c>
      <c r="E472" s="26">
        <v>4999</v>
      </c>
      <c r="F472" s="24">
        <v>4</v>
      </c>
      <c r="G472" s="26">
        <v>19996</v>
      </c>
      <c r="H472" s="24" t="s">
        <v>86</v>
      </c>
      <c r="I472" s="24" t="s">
        <v>369</v>
      </c>
      <c r="J472" s="24" t="s">
        <v>64</v>
      </c>
      <c r="K472" s="24" t="s">
        <v>67</v>
      </c>
    </row>
    <row r="473" spans="1:11" x14ac:dyDescent="0.3">
      <c r="A473" s="24" t="s">
        <v>715</v>
      </c>
      <c r="B473" s="25">
        <v>46292</v>
      </c>
      <c r="C473" s="24" t="s">
        <v>44</v>
      </c>
      <c r="D473" s="24" t="s">
        <v>29</v>
      </c>
      <c r="E473" s="26">
        <v>499</v>
      </c>
      <c r="F473" s="24">
        <v>1</v>
      </c>
      <c r="G473" s="26">
        <v>499</v>
      </c>
      <c r="H473" s="24" t="s">
        <v>74</v>
      </c>
      <c r="I473" s="24" t="s">
        <v>50</v>
      </c>
      <c r="J473" s="24" t="s">
        <v>64</v>
      </c>
      <c r="K473" s="24" t="s">
        <v>163</v>
      </c>
    </row>
    <row r="474" spans="1:11" x14ac:dyDescent="0.3">
      <c r="A474" s="24" t="s">
        <v>716</v>
      </c>
      <c r="B474" s="25">
        <v>46292</v>
      </c>
      <c r="C474" s="24" t="s">
        <v>48</v>
      </c>
      <c r="D474" s="24" t="s">
        <v>32</v>
      </c>
      <c r="E474" s="26">
        <v>399</v>
      </c>
      <c r="F474" s="24">
        <v>2</v>
      </c>
      <c r="G474" s="26">
        <v>798</v>
      </c>
      <c r="H474" s="24" t="s">
        <v>76</v>
      </c>
      <c r="I474" s="24" t="s">
        <v>53</v>
      </c>
      <c r="J474" s="24" t="s">
        <v>64</v>
      </c>
      <c r="K474" s="24" t="s">
        <v>69</v>
      </c>
    </row>
    <row r="475" spans="1:11" x14ac:dyDescent="0.3">
      <c r="A475" s="24" t="s">
        <v>717</v>
      </c>
      <c r="B475" s="25">
        <v>46293</v>
      </c>
      <c r="C475" s="24" t="s">
        <v>38</v>
      </c>
      <c r="D475" s="24" t="s">
        <v>28</v>
      </c>
      <c r="E475" s="26">
        <v>2499</v>
      </c>
      <c r="F475" s="24">
        <v>1</v>
      </c>
      <c r="G475" s="26">
        <v>2499</v>
      </c>
      <c r="H475" s="24" t="s">
        <v>74</v>
      </c>
      <c r="I475" s="24" t="s">
        <v>369</v>
      </c>
      <c r="J475" s="24" t="s">
        <v>61</v>
      </c>
      <c r="K475" s="24" t="s">
        <v>67</v>
      </c>
    </row>
    <row r="476" spans="1:11" x14ac:dyDescent="0.3">
      <c r="A476" s="24" t="s">
        <v>718</v>
      </c>
      <c r="B476" s="25">
        <v>46293</v>
      </c>
      <c r="C476" s="24" t="s">
        <v>47</v>
      </c>
      <c r="D476" s="24" t="s">
        <v>32</v>
      </c>
      <c r="E476" s="26">
        <v>699</v>
      </c>
      <c r="F476" s="24">
        <v>1</v>
      </c>
      <c r="G476" s="26">
        <v>699</v>
      </c>
      <c r="H476" s="24" t="s">
        <v>112</v>
      </c>
      <c r="I476" s="24" t="s">
        <v>50</v>
      </c>
      <c r="J476" s="24" t="s">
        <v>61</v>
      </c>
      <c r="K476" s="24" t="s">
        <v>67</v>
      </c>
    </row>
    <row r="477" spans="1:11" x14ac:dyDescent="0.3">
      <c r="A477" s="24" t="s">
        <v>719</v>
      </c>
      <c r="B477" s="25">
        <v>46293</v>
      </c>
      <c r="C477" s="24" t="s">
        <v>41</v>
      </c>
      <c r="D477" s="24" t="s">
        <v>31</v>
      </c>
      <c r="E477" s="26">
        <v>1799</v>
      </c>
      <c r="F477" s="24">
        <v>1</v>
      </c>
      <c r="G477" s="26">
        <v>1799</v>
      </c>
      <c r="H477" s="24" t="s">
        <v>78</v>
      </c>
      <c r="I477" s="24" t="s">
        <v>53</v>
      </c>
      <c r="J477" s="24" t="s">
        <v>64</v>
      </c>
      <c r="K477" s="24" t="s">
        <v>67</v>
      </c>
    </row>
    <row r="478" spans="1:11" x14ac:dyDescent="0.3">
      <c r="A478" s="24" t="s">
        <v>720</v>
      </c>
      <c r="B478" s="25">
        <v>46293</v>
      </c>
      <c r="C478" s="24" t="s">
        <v>38</v>
      </c>
      <c r="D478" s="24" t="s">
        <v>28</v>
      </c>
      <c r="E478" s="26">
        <v>2499</v>
      </c>
      <c r="F478" s="24">
        <v>1</v>
      </c>
      <c r="G478" s="26">
        <v>2499</v>
      </c>
      <c r="H478" s="24" t="s">
        <v>115</v>
      </c>
      <c r="I478" s="24" t="s">
        <v>57</v>
      </c>
      <c r="J478" s="24" t="s">
        <v>63</v>
      </c>
      <c r="K478" s="24" t="s">
        <v>163</v>
      </c>
    </row>
    <row r="479" spans="1:11" x14ac:dyDescent="0.3">
      <c r="A479" s="24" t="s">
        <v>721</v>
      </c>
      <c r="B479" s="25">
        <v>46293</v>
      </c>
      <c r="C479" s="24" t="s">
        <v>396</v>
      </c>
      <c r="D479" s="24" t="s">
        <v>29</v>
      </c>
      <c r="E479" s="26">
        <v>499</v>
      </c>
      <c r="F479" s="24">
        <v>3</v>
      </c>
      <c r="G479" s="26">
        <v>1497</v>
      </c>
      <c r="H479" s="24" t="s">
        <v>722</v>
      </c>
      <c r="I479" s="24" t="s">
        <v>58</v>
      </c>
      <c r="J479" s="24" t="s">
        <v>63</v>
      </c>
      <c r="K479" s="24" t="s">
        <v>67</v>
      </c>
    </row>
    <row r="480" spans="1:11" x14ac:dyDescent="0.3">
      <c r="A480" s="24" t="s">
        <v>723</v>
      </c>
      <c r="B480" s="25">
        <v>46293</v>
      </c>
      <c r="C480" s="24" t="s">
        <v>44</v>
      </c>
      <c r="D480" s="24" t="s">
        <v>29</v>
      </c>
      <c r="E480" s="26">
        <v>499</v>
      </c>
      <c r="F480" s="24">
        <v>2</v>
      </c>
      <c r="G480" s="26">
        <v>998</v>
      </c>
      <c r="H480" s="24" t="s">
        <v>97</v>
      </c>
      <c r="I480" s="24" t="s">
        <v>56</v>
      </c>
      <c r="J480" s="24" t="s">
        <v>64</v>
      </c>
      <c r="K480" s="24" t="s">
        <v>67</v>
      </c>
    </row>
    <row r="481" spans="1:11" x14ac:dyDescent="0.3">
      <c r="A481" s="24" t="s">
        <v>724</v>
      </c>
      <c r="B481" s="25">
        <v>46293</v>
      </c>
      <c r="C481" s="24" t="s">
        <v>360</v>
      </c>
      <c r="D481" s="24" t="s">
        <v>30</v>
      </c>
      <c r="E481" s="26">
        <v>2199</v>
      </c>
      <c r="F481" s="24">
        <v>2</v>
      </c>
      <c r="G481" s="26">
        <v>4398</v>
      </c>
      <c r="H481" s="24" t="s">
        <v>79</v>
      </c>
      <c r="I481" s="24" t="s">
        <v>50</v>
      </c>
      <c r="J481" s="24" t="s">
        <v>62</v>
      </c>
      <c r="K481" s="24" t="s">
        <v>68</v>
      </c>
    </row>
    <row r="482" spans="1:11" x14ac:dyDescent="0.3">
      <c r="A482" s="24" t="s">
        <v>725</v>
      </c>
      <c r="B482" s="25">
        <v>46293</v>
      </c>
      <c r="C482" s="24" t="s">
        <v>46</v>
      </c>
      <c r="D482" s="24" t="s">
        <v>31</v>
      </c>
      <c r="E482" s="26">
        <v>599</v>
      </c>
      <c r="F482" s="24">
        <v>3</v>
      </c>
      <c r="G482" s="26">
        <v>1797</v>
      </c>
      <c r="H482" s="24" t="s">
        <v>99</v>
      </c>
      <c r="I482" s="24" t="s">
        <v>56</v>
      </c>
      <c r="J482" s="24" t="s">
        <v>64</v>
      </c>
      <c r="K482" s="24" t="s">
        <v>67</v>
      </c>
    </row>
    <row r="483" spans="1:11" x14ac:dyDescent="0.3">
      <c r="A483" s="24" t="s">
        <v>726</v>
      </c>
      <c r="B483" s="25">
        <v>46293</v>
      </c>
      <c r="C483" s="24" t="s">
        <v>45</v>
      </c>
      <c r="D483" s="24" t="s">
        <v>30</v>
      </c>
      <c r="E483" s="26">
        <v>899</v>
      </c>
      <c r="F483" s="24">
        <v>2</v>
      </c>
      <c r="G483" s="26">
        <v>1798</v>
      </c>
      <c r="H483" s="24" t="s">
        <v>94</v>
      </c>
      <c r="I483" s="24" t="s">
        <v>53</v>
      </c>
      <c r="J483" s="24" t="s">
        <v>63</v>
      </c>
      <c r="K483" s="24" t="s">
        <v>67</v>
      </c>
    </row>
    <row r="484" spans="1:11" x14ac:dyDescent="0.3">
      <c r="A484" s="24" t="s">
        <v>727</v>
      </c>
      <c r="B484" s="25">
        <v>46293</v>
      </c>
      <c r="C484" s="24" t="s">
        <v>43</v>
      </c>
      <c r="D484" s="24" t="s">
        <v>28</v>
      </c>
      <c r="E484" s="26">
        <v>1299</v>
      </c>
      <c r="F484" s="24">
        <v>1</v>
      </c>
      <c r="G484" s="26">
        <v>1299</v>
      </c>
      <c r="H484" s="24" t="s">
        <v>99</v>
      </c>
      <c r="I484" s="24" t="s">
        <v>56</v>
      </c>
      <c r="J484" s="24" t="s">
        <v>63</v>
      </c>
      <c r="K484" s="24" t="s">
        <v>69</v>
      </c>
    </row>
    <row r="485" spans="1:11" x14ac:dyDescent="0.3">
      <c r="A485" s="24" t="s">
        <v>728</v>
      </c>
      <c r="B485" s="25">
        <v>46293</v>
      </c>
      <c r="C485" s="24" t="s">
        <v>46</v>
      </c>
      <c r="D485" s="24" t="s">
        <v>31</v>
      </c>
      <c r="E485" s="26">
        <v>599</v>
      </c>
      <c r="F485" s="24">
        <v>1</v>
      </c>
      <c r="G485" s="26">
        <v>599</v>
      </c>
      <c r="H485" s="24" t="s">
        <v>102</v>
      </c>
      <c r="I485" s="24" t="s">
        <v>729</v>
      </c>
      <c r="J485" s="24" t="s">
        <v>61</v>
      </c>
      <c r="K485" s="24" t="s">
        <v>68</v>
      </c>
    </row>
    <row r="486" spans="1:11" x14ac:dyDescent="0.3">
      <c r="A486" s="24" t="s">
        <v>730</v>
      </c>
      <c r="B486" s="25">
        <v>46293</v>
      </c>
      <c r="C486" s="24" t="s">
        <v>41</v>
      </c>
      <c r="D486" s="24" t="s">
        <v>31</v>
      </c>
      <c r="E486" s="26">
        <v>1799</v>
      </c>
      <c r="F486" s="24">
        <v>1</v>
      </c>
      <c r="G486" s="26">
        <v>1799</v>
      </c>
      <c r="H486" s="24" t="s">
        <v>130</v>
      </c>
      <c r="I486" s="24" t="s">
        <v>54</v>
      </c>
      <c r="J486" s="24" t="s">
        <v>61</v>
      </c>
      <c r="K486" s="24" t="s">
        <v>67</v>
      </c>
    </row>
    <row r="487" spans="1:11" x14ac:dyDescent="0.3">
      <c r="A487" s="24" t="s">
        <v>731</v>
      </c>
      <c r="B487" s="25">
        <v>46293</v>
      </c>
      <c r="C487" s="24" t="s">
        <v>40</v>
      </c>
      <c r="D487" s="24" t="s">
        <v>30</v>
      </c>
      <c r="E487" s="26">
        <v>2199</v>
      </c>
      <c r="F487" s="24">
        <v>2</v>
      </c>
      <c r="G487" s="26">
        <v>4398</v>
      </c>
      <c r="H487" s="24" t="s">
        <v>87</v>
      </c>
      <c r="I487" s="24" t="s">
        <v>56</v>
      </c>
      <c r="J487" s="24" t="s">
        <v>64</v>
      </c>
      <c r="K487" s="24" t="s">
        <v>69</v>
      </c>
    </row>
    <row r="488" spans="1:11" x14ac:dyDescent="0.3">
      <c r="A488" s="24" t="s">
        <v>732</v>
      </c>
      <c r="B488" s="25">
        <v>46293</v>
      </c>
      <c r="C488" s="24" t="s">
        <v>39</v>
      </c>
      <c r="D488" s="24" t="s">
        <v>29</v>
      </c>
      <c r="E488" s="26">
        <v>5999</v>
      </c>
      <c r="F488" s="24">
        <v>3</v>
      </c>
      <c r="G488" s="26">
        <v>17997</v>
      </c>
      <c r="H488" s="24" t="s">
        <v>80</v>
      </c>
      <c r="I488" s="24" t="s">
        <v>50</v>
      </c>
      <c r="J488" s="24" t="s">
        <v>63</v>
      </c>
      <c r="K488" s="24" t="s">
        <v>67</v>
      </c>
    </row>
    <row r="489" spans="1:11" x14ac:dyDescent="0.3">
      <c r="A489" s="24" t="s">
        <v>733</v>
      </c>
      <c r="B489" s="25">
        <v>46293</v>
      </c>
      <c r="C489" s="24" t="s">
        <v>40</v>
      </c>
      <c r="D489" s="24" t="s">
        <v>30</v>
      </c>
      <c r="E489" s="26">
        <v>2199</v>
      </c>
      <c r="F489" s="24">
        <v>2</v>
      </c>
      <c r="G489" s="26">
        <v>4398</v>
      </c>
      <c r="H489" s="24" t="s">
        <v>734</v>
      </c>
      <c r="I489" s="24" t="s">
        <v>169</v>
      </c>
      <c r="J489" s="24" t="s">
        <v>65</v>
      </c>
      <c r="K489" s="24" t="s">
        <v>68</v>
      </c>
    </row>
    <row r="490" spans="1:11" x14ac:dyDescent="0.3">
      <c r="A490" s="24" t="s">
        <v>735</v>
      </c>
      <c r="B490" s="25">
        <v>46293</v>
      </c>
      <c r="C490" s="24" t="s">
        <v>431</v>
      </c>
      <c r="D490" s="24" t="s">
        <v>31</v>
      </c>
      <c r="E490" s="26">
        <v>599</v>
      </c>
      <c r="F490" s="24">
        <v>1</v>
      </c>
      <c r="G490" s="26">
        <v>599</v>
      </c>
      <c r="H490" s="24" t="s">
        <v>129</v>
      </c>
      <c r="I490" s="24" t="s">
        <v>54</v>
      </c>
      <c r="J490" s="24" t="s">
        <v>62</v>
      </c>
      <c r="K490" s="24" t="s">
        <v>67</v>
      </c>
    </row>
    <row r="491" spans="1:11" x14ac:dyDescent="0.3">
      <c r="A491" s="24" t="s">
        <v>736</v>
      </c>
      <c r="B491" s="25">
        <v>46293</v>
      </c>
      <c r="C491" s="24" t="s">
        <v>737</v>
      </c>
      <c r="D491" s="24" t="s">
        <v>31</v>
      </c>
      <c r="E491" s="26">
        <v>599</v>
      </c>
      <c r="F491" s="24">
        <v>1</v>
      </c>
      <c r="G491" s="26">
        <v>599</v>
      </c>
      <c r="H491" s="24" t="s">
        <v>131</v>
      </c>
      <c r="I491" s="24" t="s">
        <v>50</v>
      </c>
      <c r="J491" s="24" t="s">
        <v>61</v>
      </c>
      <c r="K491" s="24" t="s">
        <v>67</v>
      </c>
    </row>
    <row r="492" spans="1:11" x14ac:dyDescent="0.3">
      <c r="A492" s="24" t="s">
        <v>738</v>
      </c>
      <c r="B492" s="25">
        <v>46294</v>
      </c>
      <c r="C492" s="24" t="s">
        <v>42</v>
      </c>
      <c r="D492" s="24" t="s">
        <v>28</v>
      </c>
      <c r="E492" s="26">
        <v>1999</v>
      </c>
      <c r="F492" s="24">
        <v>2</v>
      </c>
      <c r="G492" s="26">
        <v>3998</v>
      </c>
      <c r="H492" s="24" t="s">
        <v>83</v>
      </c>
      <c r="I492" s="24" t="s">
        <v>51</v>
      </c>
      <c r="J492" s="24" t="s">
        <v>63</v>
      </c>
      <c r="K492" s="24" t="s">
        <v>67</v>
      </c>
    </row>
    <row r="493" spans="1:11" x14ac:dyDescent="0.3">
      <c r="A493" s="24" t="s">
        <v>739</v>
      </c>
      <c r="B493" s="25">
        <v>46294</v>
      </c>
      <c r="C493" s="24" t="s">
        <v>38</v>
      </c>
      <c r="D493" s="24" t="s">
        <v>28</v>
      </c>
      <c r="E493" s="26">
        <v>2499</v>
      </c>
      <c r="F493" s="24">
        <v>2</v>
      </c>
      <c r="G493" s="26">
        <v>4998</v>
      </c>
      <c r="H493" s="24" t="s">
        <v>121</v>
      </c>
      <c r="I493" s="24" t="s">
        <v>740</v>
      </c>
      <c r="J493" s="24" t="s">
        <v>61</v>
      </c>
      <c r="K493" s="24" t="s">
        <v>67</v>
      </c>
    </row>
    <row r="494" spans="1:11" x14ac:dyDescent="0.3">
      <c r="A494" s="24" t="s">
        <v>741</v>
      </c>
      <c r="B494" s="25">
        <v>46294</v>
      </c>
      <c r="C494" s="24" t="s">
        <v>36</v>
      </c>
      <c r="D494" s="24" t="s">
        <v>30</v>
      </c>
      <c r="E494" s="26">
        <v>3299</v>
      </c>
      <c r="F494" s="24">
        <v>2</v>
      </c>
      <c r="G494" s="26">
        <v>6598</v>
      </c>
      <c r="H494" s="24" t="s">
        <v>126</v>
      </c>
      <c r="I494" s="24" t="s">
        <v>50</v>
      </c>
      <c r="J494" s="24" t="s">
        <v>65</v>
      </c>
      <c r="K494" s="24" t="s">
        <v>67</v>
      </c>
    </row>
    <row r="495" spans="1:11" x14ac:dyDescent="0.3">
      <c r="A495" s="24" t="s">
        <v>742</v>
      </c>
      <c r="B495" s="25">
        <v>46294</v>
      </c>
      <c r="C495" s="24" t="s">
        <v>47</v>
      </c>
      <c r="D495" s="24" t="s">
        <v>32</v>
      </c>
      <c r="E495" s="26">
        <v>699</v>
      </c>
      <c r="F495" s="24">
        <v>1</v>
      </c>
      <c r="G495" s="26">
        <v>699</v>
      </c>
      <c r="H495" s="24" t="s">
        <v>110</v>
      </c>
      <c r="I495" s="24" t="s">
        <v>743</v>
      </c>
      <c r="J495" s="24" t="s">
        <v>61</v>
      </c>
      <c r="K495" s="24" t="s">
        <v>67</v>
      </c>
    </row>
    <row r="496" spans="1:11" x14ac:dyDescent="0.3">
      <c r="A496" s="24" t="s">
        <v>744</v>
      </c>
      <c r="B496" s="25">
        <v>46294</v>
      </c>
      <c r="C496" s="24" t="s">
        <v>46</v>
      </c>
      <c r="D496" s="24" t="s">
        <v>31</v>
      </c>
      <c r="E496" s="26">
        <v>599</v>
      </c>
      <c r="F496" s="24">
        <v>2</v>
      </c>
      <c r="G496" s="26">
        <v>1198</v>
      </c>
      <c r="H496" s="24" t="s">
        <v>125</v>
      </c>
      <c r="I496" s="24" t="s">
        <v>205</v>
      </c>
      <c r="J496" s="24" t="s">
        <v>64</v>
      </c>
      <c r="K496" s="24" t="s">
        <v>69</v>
      </c>
    </row>
    <row r="497" spans="1:11" x14ac:dyDescent="0.3">
      <c r="A497" s="24" t="s">
        <v>745</v>
      </c>
      <c r="B497" s="25">
        <v>46294</v>
      </c>
      <c r="C497" s="24" t="s">
        <v>35</v>
      </c>
      <c r="D497" s="24" t="s">
        <v>28</v>
      </c>
      <c r="E497" s="26">
        <v>4999</v>
      </c>
      <c r="F497" s="24">
        <v>1</v>
      </c>
      <c r="G497" s="26">
        <v>4999</v>
      </c>
      <c r="H497" s="24" t="s">
        <v>83</v>
      </c>
      <c r="I497" s="24" t="s">
        <v>51</v>
      </c>
      <c r="J497" s="24" t="s">
        <v>62</v>
      </c>
      <c r="K497" s="24" t="s">
        <v>163</v>
      </c>
    </row>
    <row r="498" spans="1:11" x14ac:dyDescent="0.3">
      <c r="A498" s="24" t="s">
        <v>746</v>
      </c>
      <c r="B498" s="25">
        <v>46294</v>
      </c>
      <c r="C498" s="24" t="s">
        <v>48</v>
      </c>
      <c r="D498" s="24" t="s">
        <v>32</v>
      </c>
      <c r="E498" s="26">
        <v>399</v>
      </c>
      <c r="F498" s="24">
        <v>1</v>
      </c>
      <c r="G498" s="26">
        <v>399</v>
      </c>
      <c r="H498" s="24" t="s">
        <v>111</v>
      </c>
      <c r="I498" s="24" t="s">
        <v>54</v>
      </c>
      <c r="J498" s="24" t="s">
        <v>61</v>
      </c>
      <c r="K498" s="24" t="s">
        <v>67</v>
      </c>
    </row>
    <row r="499" spans="1:11" x14ac:dyDescent="0.3">
      <c r="A499" s="24" t="s">
        <v>747</v>
      </c>
      <c r="B499" s="25">
        <v>46294</v>
      </c>
      <c r="C499" s="24" t="s">
        <v>40</v>
      </c>
      <c r="D499" s="24" t="s">
        <v>30</v>
      </c>
      <c r="E499" s="26">
        <v>2199</v>
      </c>
      <c r="F499" s="24">
        <v>2</v>
      </c>
      <c r="G499" s="26">
        <v>4398</v>
      </c>
      <c r="H499" s="24" t="s">
        <v>103</v>
      </c>
      <c r="I499" s="24" t="s">
        <v>58</v>
      </c>
      <c r="J499" s="24" t="s">
        <v>62</v>
      </c>
      <c r="K499" s="24" t="s">
        <v>67</v>
      </c>
    </row>
    <row r="500" spans="1:11" x14ac:dyDescent="0.3">
      <c r="A500" s="24" t="s">
        <v>748</v>
      </c>
      <c r="B500" s="25">
        <v>46294</v>
      </c>
      <c r="C500" s="24" t="s">
        <v>47</v>
      </c>
      <c r="D500" s="24" t="s">
        <v>32</v>
      </c>
      <c r="E500" s="26">
        <v>699</v>
      </c>
      <c r="F500" s="24">
        <v>4</v>
      </c>
      <c r="G500" s="26">
        <v>2796</v>
      </c>
      <c r="H500" s="24" t="s">
        <v>95</v>
      </c>
      <c r="I500" s="24" t="s">
        <v>52</v>
      </c>
      <c r="J500" s="24" t="s">
        <v>63</v>
      </c>
      <c r="K500" s="24" t="s">
        <v>69</v>
      </c>
    </row>
    <row r="501" spans="1:11" x14ac:dyDescent="0.3">
      <c r="A501" s="24" t="s">
        <v>749</v>
      </c>
      <c r="B501" s="25">
        <v>46294</v>
      </c>
      <c r="C501" s="24" t="s">
        <v>48</v>
      </c>
      <c r="D501" s="24" t="s">
        <v>32</v>
      </c>
      <c r="E501" s="26">
        <v>399</v>
      </c>
      <c r="F501" s="24">
        <v>2</v>
      </c>
      <c r="G501" s="26">
        <v>798</v>
      </c>
      <c r="H501" s="24" t="s">
        <v>750</v>
      </c>
      <c r="I501" s="24" t="s">
        <v>52</v>
      </c>
      <c r="J501" s="24" t="s">
        <v>65</v>
      </c>
      <c r="K501" s="24" t="s">
        <v>67</v>
      </c>
    </row>
    <row r="502" spans="1:11" x14ac:dyDescent="0.3">
      <c r="A502" s="24" t="s">
        <v>751</v>
      </c>
      <c r="B502" s="25">
        <v>46295</v>
      </c>
      <c r="C502" s="24" t="s">
        <v>188</v>
      </c>
      <c r="D502" s="24" t="s">
        <v>28</v>
      </c>
      <c r="E502" s="26">
        <v>1299</v>
      </c>
      <c r="F502" s="24">
        <v>1</v>
      </c>
      <c r="G502" s="26">
        <v>1299</v>
      </c>
      <c r="H502" s="24" t="s">
        <v>120</v>
      </c>
      <c r="I502" s="24" t="s">
        <v>52</v>
      </c>
      <c r="J502" s="24" t="s">
        <v>61</v>
      </c>
      <c r="K502" s="24" t="s">
        <v>67</v>
      </c>
    </row>
    <row r="503" spans="1:11" x14ac:dyDescent="0.3">
      <c r="A503" s="24" t="s">
        <v>752</v>
      </c>
      <c r="B503" s="25">
        <v>46295</v>
      </c>
      <c r="C503" s="24" t="s">
        <v>203</v>
      </c>
      <c r="D503" s="24" t="s">
        <v>30</v>
      </c>
      <c r="E503" s="26">
        <v>2199</v>
      </c>
      <c r="F503" s="24">
        <v>1</v>
      </c>
      <c r="G503" s="26">
        <v>2199</v>
      </c>
      <c r="H503" s="24" t="s">
        <v>84</v>
      </c>
      <c r="I503" s="24" t="s">
        <v>54</v>
      </c>
      <c r="J503" s="24" t="s">
        <v>63</v>
      </c>
      <c r="K503" s="24" t="s">
        <v>67</v>
      </c>
    </row>
    <row r="504" spans="1:11" x14ac:dyDescent="0.3">
      <c r="A504" s="24" t="s">
        <v>752</v>
      </c>
      <c r="B504" s="25">
        <v>46295</v>
      </c>
      <c r="C504" s="24" t="s">
        <v>203</v>
      </c>
      <c r="D504" s="24" t="s">
        <v>30</v>
      </c>
      <c r="E504" s="26">
        <v>2199</v>
      </c>
      <c r="F504" s="24">
        <v>1</v>
      </c>
      <c r="G504" s="26">
        <v>2199</v>
      </c>
      <c r="H504" s="24" t="s">
        <v>84</v>
      </c>
      <c r="I504" s="24" t="s">
        <v>54</v>
      </c>
      <c r="J504" s="24" t="s">
        <v>63</v>
      </c>
      <c r="K504" s="24" t="s">
        <v>67</v>
      </c>
    </row>
    <row r="505" spans="1:11" x14ac:dyDescent="0.3">
      <c r="A505" s="24" t="s">
        <v>753</v>
      </c>
      <c r="B505" s="25">
        <v>46295</v>
      </c>
      <c r="C505" s="24" t="s">
        <v>44</v>
      </c>
      <c r="D505" s="24" t="s">
        <v>29</v>
      </c>
      <c r="E505" s="26">
        <v>499</v>
      </c>
      <c r="F505" s="24">
        <v>2</v>
      </c>
      <c r="G505" s="26">
        <v>998</v>
      </c>
      <c r="H505" s="24" t="s">
        <v>101</v>
      </c>
      <c r="I505" s="24" t="s">
        <v>321</v>
      </c>
      <c r="J505" s="24" t="s">
        <v>62</v>
      </c>
      <c r="K505" s="24" t="s">
        <v>67</v>
      </c>
    </row>
    <row r="506" spans="1:11" x14ac:dyDescent="0.3">
      <c r="A506" s="24" t="s">
        <v>754</v>
      </c>
      <c r="B506" s="25">
        <v>46295</v>
      </c>
      <c r="C506" s="24" t="s">
        <v>40</v>
      </c>
      <c r="D506" s="24" t="s">
        <v>30</v>
      </c>
      <c r="E506" s="26">
        <v>2199</v>
      </c>
      <c r="F506" s="24">
        <v>1</v>
      </c>
      <c r="G506" s="26">
        <v>2199</v>
      </c>
      <c r="H506" s="24" t="s">
        <v>117</v>
      </c>
      <c r="I506" s="24" t="s">
        <v>50</v>
      </c>
      <c r="J506" s="24" t="s">
        <v>63</v>
      </c>
      <c r="K506" s="24" t="s">
        <v>68</v>
      </c>
    </row>
    <row r="507" spans="1:11" x14ac:dyDescent="0.3">
      <c r="A507" s="24" t="s">
        <v>755</v>
      </c>
      <c r="B507" s="25">
        <v>46295</v>
      </c>
      <c r="C507" s="24" t="s">
        <v>756</v>
      </c>
      <c r="D507" s="24" t="s">
        <v>28</v>
      </c>
      <c r="E507" s="26">
        <v>1299</v>
      </c>
      <c r="F507" s="24">
        <v>4</v>
      </c>
      <c r="G507" s="26">
        <v>5196</v>
      </c>
      <c r="H507" s="24" t="s">
        <v>115</v>
      </c>
      <c r="I507" s="24" t="s">
        <v>57</v>
      </c>
      <c r="J507" s="24" t="s">
        <v>63</v>
      </c>
      <c r="K507" s="24" t="s">
        <v>67</v>
      </c>
    </row>
    <row r="508" spans="1:11" x14ac:dyDescent="0.3">
      <c r="A508" s="24" t="s">
        <v>757</v>
      </c>
      <c r="B508" s="25">
        <v>46295</v>
      </c>
      <c r="C508" s="24" t="s">
        <v>42</v>
      </c>
      <c r="D508" s="24" t="s">
        <v>28</v>
      </c>
      <c r="E508" s="26">
        <v>1999</v>
      </c>
      <c r="F508" s="24">
        <v>2</v>
      </c>
      <c r="G508" s="26">
        <v>3998</v>
      </c>
      <c r="H508" s="24" t="s">
        <v>116</v>
      </c>
      <c r="I508" s="24" t="s">
        <v>54</v>
      </c>
      <c r="J508" s="24" t="s">
        <v>65</v>
      </c>
      <c r="K508" s="24" t="s">
        <v>67</v>
      </c>
    </row>
    <row r="509" spans="1:11" x14ac:dyDescent="0.3">
      <c r="A509" s="24" t="s">
        <v>758</v>
      </c>
      <c r="B509" s="25">
        <v>46295</v>
      </c>
      <c r="C509" s="24" t="s">
        <v>35</v>
      </c>
      <c r="D509" s="24" t="s">
        <v>28</v>
      </c>
      <c r="E509" s="26">
        <v>4999</v>
      </c>
      <c r="F509" s="24">
        <v>1</v>
      </c>
      <c r="G509" s="26">
        <v>4999</v>
      </c>
      <c r="H509" s="24" t="s">
        <v>92</v>
      </c>
      <c r="I509" s="24" t="s">
        <v>51</v>
      </c>
      <c r="J509" s="24" t="s">
        <v>62</v>
      </c>
      <c r="K509" s="24" t="s">
        <v>67</v>
      </c>
    </row>
    <row r="510" spans="1:11" x14ac:dyDescent="0.3">
      <c r="A510" s="24" t="s">
        <v>759</v>
      </c>
      <c r="B510" s="25">
        <v>46295</v>
      </c>
      <c r="C510" s="24" t="s">
        <v>148</v>
      </c>
      <c r="D510" s="24" t="s">
        <v>32</v>
      </c>
      <c r="E510" s="26">
        <v>399</v>
      </c>
      <c r="F510" s="24">
        <v>1</v>
      </c>
      <c r="G510" s="26">
        <v>399</v>
      </c>
      <c r="H510" s="24" t="s">
        <v>107</v>
      </c>
      <c r="I510" s="24" t="s">
        <v>52</v>
      </c>
      <c r="J510" s="24" t="s">
        <v>61</v>
      </c>
      <c r="K510" s="24" t="s">
        <v>67</v>
      </c>
    </row>
    <row r="511" spans="1:11" x14ac:dyDescent="0.3">
      <c r="A511" s="24" t="s">
        <v>760</v>
      </c>
      <c r="B511" s="25">
        <v>46295</v>
      </c>
      <c r="C511" s="24" t="s">
        <v>47</v>
      </c>
      <c r="D511" s="24" t="s">
        <v>32</v>
      </c>
      <c r="E511" s="26">
        <v>699</v>
      </c>
      <c r="F511" s="24">
        <v>3</v>
      </c>
      <c r="G511" s="26">
        <v>2097</v>
      </c>
      <c r="H511" s="24" t="s">
        <v>74</v>
      </c>
      <c r="I511" s="24" t="s">
        <v>50</v>
      </c>
      <c r="J511" s="24" t="s">
        <v>65</v>
      </c>
      <c r="K511" s="24" t="s">
        <v>67</v>
      </c>
    </row>
    <row r="512" spans="1:11" x14ac:dyDescent="0.3">
      <c r="A512" s="24" t="s">
        <v>761</v>
      </c>
      <c r="B512" s="25">
        <v>46295</v>
      </c>
      <c r="C512" s="24" t="s">
        <v>37</v>
      </c>
      <c r="D512" s="24" t="s">
        <v>29</v>
      </c>
      <c r="E512" s="26">
        <v>3499</v>
      </c>
      <c r="F512" s="24">
        <v>1</v>
      </c>
      <c r="G512" s="26">
        <v>3499</v>
      </c>
      <c r="H512" s="24" t="s">
        <v>107</v>
      </c>
      <c r="I512" s="24" t="s">
        <v>52</v>
      </c>
      <c r="J512" s="24" t="s">
        <v>63</v>
      </c>
      <c r="K512" s="24" t="s">
        <v>67</v>
      </c>
    </row>
    <row r="513" spans="1:11" x14ac:dyDescent="0.3">
      <c r="A513" s="24" t="s">
        <v>762</v>
      </c>
      <c r="B513" s="25">
        <v>46295</v>
      </c>
      <c r="C513" s="24" t="s">
        <v>36</v>
      </c>
      <c r="D513" s="24" t="s">
        <v>30</v>
      </c>
      <c r="E513" s="26">
        <v>3299</v>
      </c>
      <c r="F513" s="24">
        <v>1</v>
      </c>
      <c r="G513" s="26">
        <v>3299</v>
      </c>
      <c r="H513" s="24" t="s">
        <v>75</v>
      </c>
      <c r="I513" s="24" t="s">
        <v>51</v>
      </c>
      <c r="J513" s="24" t="s">
        <v>64</v>
      </c>
      <c r="K513" s="24" t="s">
        <v>163</v>
      </c>
    </row>
    <row r="514" spans="1:11" x14ac:dyDescent="0.3">
      <c r="A514" s="24" t="s">
        <v>763</v>
      </c>
      <c r="B514" s="25">
        <v>46295</v>
      </c>
      <c r="C514" s="24" t="s">
        <v>43</v>
      </c>
      <c r="D514" s="24" t="s">
        <v>28</v>
      </c>
      <c r="E514" s="26">
        <v>1299</v>
      </c>
      <c r="F514" s="24">
        <v>1</v>
      </c>
      <c r="G514" s="26">
        <v>1299</v>
      </c>
      <c r="H514" s="24" t="s">
        <v>77</v>
      </c>
      <c r="I514" s="24" t="s">
        <v>57</v>
      </c>
      <c r="J514" s="24" t="s">
        <v>63</v>
      </c>
      <c r="K514" s="24" t="s">
        <v>67</v>
      </c>
    </row>
    <row r="515" spans="1:11" x14ac:dyDescent="0.3">
      <c r="A515" s="24" t="s">
        <v>764</v>
      </c>
      <c r="B515" s="25">
        <v>46295</v>
      </c>
      <c r="C515" s="24" t="s">
        <v>43</v>
      </c>
      <c r="D515" s="24" t="s">
        <v>28</v>
      </c>
      <c r="E515" s="26">
        <v>1299</v>
      </c>
      <c r="F515" s="24">
        <v>3</v>
      </c>
      <c r="G515" s="26">
        <v>3897</v>
      </c>
      <c r="H515" s="24" t="s">
        <v>115</v>
      </c>
      <c r="I515" s="24" t="s">
        <v>765</v>
      </c>
      <c r="J515" s="24" t="s">
        <v>61</v>
      </c>
      <c r="K515" s="24" t="s">
        <v>67</v>
      </c>
    </row>
    <row r="516" spans="1:11" x14ac:dyDescent="0.3">
      <c r="A516" s="24" t="s">
        <v>766</v>
      </c>
      <c r="B516" s="25">
        <v>46295</v>
      </c>
      <c r="C516" s="24" t="s">
        <v>41</v>
      </c>
      <c r="D516" s="24" t="s">
        <v>31</v>
      </c>
      <c r="E516" s="26">
        <v>1799</v>
      </c>
      <c r="F516" s="24">
        <v>1</v>
      </c>
      <c r="G516" s="26">
        <v>1799</v>
      </c>
      <c r="H516" s="24" t="s">
        <v>116</v>
      </c>
      <c r="I516" s="24" t="s">
        <v>54</v>
      </c>
      <c r="J516" s="24" t="s">
        <v>61</v>
      </c>
      <c r="K516" s="24" t="s">
        <v>67</v>
      </c>
    </row>
  </sheetData>
  <autoFilter ref="A1:K516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23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34" customWidth="1"/>
    <col min="3" max="3" width="95" customWidth="1"/>
  </cols>
  <sheetData>
    <row r="1" spans="2:3" ht="21" x14ac:dyDescent="0.4">
      <c r="B1" s="27" t="s">
        <v>767</v>
      </c>
    </row>
    <row r="2" spans="2:3" x14ac:dyDescent="0.3">
      <c r="B2" s="11" t="s">
        <v>768</v>
      </c>
    </row>
    <row r="4" spans="2:3" x14ac:dyDescent="0.3">
      <c r="B4" s="13" t="s">
        <v>769</v>
      </c>
      <c r="C4" s="13" t="s">
        <v>770</v>
      </c>
    </row>
    <row r="5" spans="2:3" x14ac:dyDescent="0.3">
      <c r="B5" s="28" t="s">
        <v>771</v>
      </c>
      <c r="C5" s="29" t="str">
        <f>INDEX(Pivots!$A$21:$A$34,MATCH(MAX(Pivots!$F$21:$F$34),Pivots!$F$21:$F$34,0))&amp;" (₹"&amp;TEXT(MAX(Pivots!$F$21:$F$34),"#,##0")&amp;")"&amp;" – "&amp;TEXT(MAX(Pivots!$F$21:$F$34)/Pivots!$F$35,"0.0%")&amp;" of total sales"</f>
        <v>Smart Watch (₹2,34,953) – 15.0% of total sales</v>
      </c>
    </row>
    <row r="6" spans="2:3" x14ac:dyDescent="0.3">
      <c r="B6" s="28" t="s">
        <v>772</v>
      </c>
      <c r="C6" s="29" t="str">
        <f>INDEX(Pivots!$A$21:$A$34,MATCH(MIN(Pivots!$F$21:$F$34),Pivots!$F$21:$F$34,0))&amp;" (₹"&amp;TEXT(MIN(Pivots!$F$21:$F$34),"#,##0")&amp;")"</f>
        <v>Self Help Book (₹27,531)</v>
      </c>
    </row>
    <row r="7" spans="2:3" x14ac:dyDescent="0.3">
      <c r="B7" s="28" t="s">
        <v>773</v>
      </c>
      <c r="C7" s="29" t="str">
        <f>INDEX(Pivots!$A$11:$A$15,MATCH(MAX(Pivots!$F$11:$F$15),Pivots!$F$11:$F$15,0))&amp;" (₹"&amp;TEXT(MAX(Pivots!$F$11:$F$15),"#,##0")&amp;")"&amp;" – "&amp;TEXT(MAX(Pivots!$F$11:$F$15)/Pivots!$F$16,"0.0%")&amp;" of total sales"</f>
        <v>Electronics (₹5,95,070) – 38.0% of total sales</v>
      </c>
    </row>
    <row r="8" spans="2:3" x14ac:dyDescent="0.3">
      <c r="B8" s="28" t="s">
        <v>774</v>
      </c>
      <c r="C8" s="29" t="str">
        <f>INDEX(Pivots!$A$11:$A$15,MATCH(MIN(Pivots!$F$11:$F$15),Pivots!$F$11:$F$15,0))&amp;" (₹"&amp;TEXT(MIN(Pivots!$F$11:$F$15),"#,##0")&amp;")"&amp;" – "&amp;TEXT(MIN(Pivots!$F$11:$F$15)/Pivots!$F$16,"0.0%")&amp;" of total sales"</f>
        <v>Books (₹60,384) – 3.9% of total sales</v>
      </c>
    </row>
    <row r="9" spans="2:3" x14ac:dyDescent="0.3">
      <c r="B9" s="28" t="s">
        <v>775</v>
      </c>
      <c r="C9" s="29" t="str">
        <f>INDEX(Pivots!$A$40:$A$49,MATCH(MAX(Pivots!$F$40:$F$49),Pivots!$F$40:$F$49,0))&amp;" (₹"&amp;TEXT(MAX(Pivots!$F$40:$F$49),"#,##0")&amp;")"&amp;" – "&amp;TEXT(MAX(Pivots!$F$40:$F$49)/Pivots!$F$50,"0.0%")&amp;" of total sales"</f>
        <v>Mumbai (₹3,51,454) – 22.5% of total sales</v>
      </c>
    </row>
    <row r="10" spans="2:3" x14ac:dyDescent="0.3">
      <c r="B10" s="28" t="s">
        <v>776</v>
      </c>
      <c r="C10" s="29" t="str">
        <f>INDEX(Pivots!$A$40:$A$49,MATCH(MIN(Pivots!$F$40:$F$49),Pivots!$F$40:$F$49,0))&amp;" (₹"&amp;TEXT(MIN(Pivots!$F$40:$F$49),"#,##0")&amp;")"&amp;" – "&amp;TEXT(MIN(Pivots!$F$40:$F$49)/Pivots!$F$50,"0.0%")&amp;" of total sales"</f>
        <v>Jaipur (₹27,381) – 1.7% of total sales</v>
      </c>
    </row>
    <row r="11" spans="2:3" ht="26.4" x14ac:dyDescent="0.3">
      <c r="B11" s="28" t="s">
        <v>777</v>
      </c>
      <c r="C11" s="29" t="str">
        <f>INDEX(Pivots!$A$55:$A$59,MATCH(MAX(Pivots!$F$55:$F$59),Pivots!$F$55:$F$59,0))&amp;" (₹"&amp;TEXT(MAX(Pivots!$F$55:$F$59),"#,##0")&amp;")"&amp;" – "&amp;TEXT(MAX(Pivots!$F$55:$F$59)/Pivots!$F$60,"0.0%")&amp;" of total sales"</f>
        <v>UPI (₹5,52,508) – 35.3% of total sales</v>
      </c>
    </row>
    <row r="12" spans="2:3" x14ac:dyDescent="0.3">
      <c r="B12" s="28" t="s">
        <v>778</v>
      </c>
      <c r="C12" s="29" t="str">
        <f>"Delivered "&amp;TEXT(COUNTIFS(Cleaned_Data!$N$2:$N$501,"Delivered")/COUNTA(Cleaned_Data!$A$2:$A$501),"0.0%")&amp;" | Cancelled "&amp;TEXT(COUNTIFS(Cleaned_Data!$N$2:$N$501,"Cancelled")/COUNTA(Cleaned_Data!$A$2:$A$501),"0.0%")&amp;" | Pending/Shipped "&amp;TEXT(COUNTIFS(Cleaned_Data!$N$2:$N$501,"Pending")/COUNTA(Cleaned_Data!$A$2:$A$501),"0.0%")</f>
        <v>Delivered 76.4% | Cancelled 12.6% | Pending/Shipped 11.0%</v>
      </c>
    </row>
    <row r="13" spans="2:3" x14ac:dyDescent="0.3">
      <c r="B13" s="28" t="s">
        <v>779</v>
      </c>
      <c r="C13" s="29" t="str">
        <f>TEXT(COUNTIFS(Cleaned_Data!$N$2:$N$501,"Delivered")/COUNTIFS(Cleaned_Data!$N$2:$N$501,"Cancelled"),"0.0")&amp;" delivered for every 1 cancelled order"</f>
        <v>6.1 delivered for every 1 cancelled order</v>
      </c>
    </row>
    <row r="14" spans="2:3" x14ac:dyDescent="0.3">
      <c r="B14" s="28" t="s">
        <v>780</v>
      </c>
      <c r="C14" s="29" t="str">
        <f>"₹"&amp;TEXT(SUMIFS(Cleaned_Data!$G$2:$G$501,Cleaned_Data!$N$2:$N$501,"Cancelled"),"#,##0")&amp;" ("&amp;TEXT(SUMIFS(Cleaned_Data!$G$2:$G$501,Cleaned_Data!$N$2:$N$501,"Cancelled")/SUM(Cleaned_Data!$G$2:$G$501),"0.0%")&amp;" of gross sales)"</f>
        <v>₹2,12,492 (13.6% of gross sales)</v>
      </c>
    </row>
    <row r="15" spans="2:3" x14ac:dyDescent="0.3">
      <c r="B15" s="28" t="s">
        <v>781</v>
      </c>
      <c r="C15" s="29" t="str">
        <f>Pivots!$J$11&amp;" – ₹"&amp;TEXT(Pivots!$K$11,"#,##0")</f>
        <v>Anjali Verma – ₹59,983</v>
      </c>
    </row>
    <row r="17" spans="2:3" ht="15.6" x14ac:dyDescent="0.3">
      <c r="B17" s="30" t="s">
        <v>782</v>
      </c>
    </row>
    <row r="18" spans="2:3" ht="27.75" customHeight="1" x14ac:dyDescent="0.3">
      <c r="B18" s="35" t="s">
        <v>783</v>
      </c>
      <c r="C18" s="35"/>
    </row>
    <row r="19" spans="2:3" ht="27.75" customHeight="1" x14ac:dyDescent="0.3">
      <c r="B19" s="35" t="s">
        <v>784</v>
      </c>
      <c r="C19" s="35"/>
    </row>
    <row r="20" spans="2:3" ht="27.75" customHeight="1" x14ac:dyDescent="0.3">
      <c r="B20" s="35" t="s">
        <v>785</v>
      </c>
      <c r="C20" s="35"/>
    </row>
    <row r="21" spans="2:3" ht="27.75" customHeight="1" x14ac:dyDescent="0.3">
      <c r="B21" s="35" t="s">
        <v>786</v>
      </c>
      <c r="C21" s="35"/>
    </row>
    <row r="22" spans="2:3" ht="27.75" customHeight="1" x14ac:dyDescent="0.3">
      <c r="B22" s="35" t="s">
        <v>787</v>
      </c>
      <c r="C22" s="35"/>
    </row>
    <row r="23" spans="2:3" ht="27.75" customHeight="1" x14ac:dyDescent="0.3">
      <c r="B23" s="35" t="s">
        <v>788</v>
      </c>
      <c r="C23" s="35"/>
    </row>
  </sheetData>
  <mergeCells count="6">
    <mergeCell ref="B23:C23"/>
    <mergeCell ref="B18:C18"/>
    <mergeCell ref="B19:C19"/>
    <mergeCell ref="B20:C20"/>
    <mergeCell ref="B21:C21"/>
    <mergeCell ref="B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8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28" customWidth="1"/>
    <col min="3" max="3" width="100" customWidth="1"/>
  </cols>
  <sheetData>
    <row r="1" spans="2:3" ht="21" x14ac:dyDescent="0.4">
      <c r="B1" s="27" t="s">
        <v>789</v>
      </c>
    </row>
    <row r="3" spans="2:3" ht="60" customHeight="1" x14ac:dyDescent="0.3">
      <c r="B3" s="31" t="s">
        <v>790</v>
      </c>
      <c r="C3" s="1" t="s">
        <v>791</v>
      </c>
    </row>
    <row r="4" spans="2:3" ht="120" customHeight="1" x14ac:dyDescent="0.3">
      <c r="B4" s="32" t="s">
        <v>792</v>
      </c>
      <c r="C4" s="1" t="s">
        <v>793</v>
      </c>
    </row>
    <row r="5" spans="2:3" ht="105" customHeight="1" x14ac:dyDescent="0.3">
      <c r="B5" s="32" t="s">
        <v>794</v>
      </c>
      <c r="C5" s="1" t="s">
        <v>795</v>
      </c>
    </row>
    <row r="6" spans="2:3" ht="30" customHeight="1" x14ac:dyDescent="0.3">
      <c r="B6" s="32" t="s">
        <v>796</v>
      </c>
      <c r="C6" s="1" t="s">
        <v>797</v>
      </c>
    </row>
    <row r="7" spans="2:3" ht="45" customHeight="1" x14ac:dyDescent="0.3">
      <c r="B7" s="32" t="s">
        <v>798</v>
      </c>
      <c r="C7" s="1" t="s">
        <v>799</v>
      </c>
    </row>
    <row r="8" spans="2:3" ht="30" customHeight="1" x14ac:dyDescent="0.3">
      <c r="B8" s="32" t="s">
        <v>800</v>
      </c>
      <c r="C8" s="1" t="s">
        <v>801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Pivots</vt:lpstr>
      <vt:lpstr>Cleaned_Data</vt:lpstr>
      <vt:lpstr>Raw_Data</vt:lpstr>
      <vt:lpstr>Insights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CHAITHANYA K</cp:lastModifiedBy>
  <cp:revision>1</cp:revision>
  <cp:lastPrinted>2026-10-01T18:51:31Z</cp:lastPrinted>
  <dcterms:created xsi:type="dcterms:W3CDTF">2026-10-01T13:59:25Z</dcterms:created>
  <dcterms:modified xsi:type="dcterms:W3CDTF">2026-10-01T18:52:23Z</dcterms:modified>
  <dc:language>en-US</dc:language>
</cp:coreProperties>
</file>